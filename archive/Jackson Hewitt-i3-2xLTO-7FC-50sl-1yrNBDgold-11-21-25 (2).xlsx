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defaultThemeVersion="124226"/>
  <mc:AlternateContent xmlns:mc="http://schemas.openxmlformats.org/markup-compatibility/2006">
    <mc:Choice Requires="x15">
      <x15ac:absPath xmlns:x15ac="http://schemas.microsoft.com/office/spreadsheetml/2010/11/ac" url="https://quantumhub-my.sharepoint.com/personal/megan_swaffield_quantum_com/Documents/Documents/Quotes 2025/"/>
    </mc:Choice>
  </mc:AlternateContent>
  <xr:revisionPtr revIDLastSave="0" documentId="8_{7D61C747-588F-4AB2-A3BB-BEF47DB4F5FF}" xr6:coauthVersionLast="47" xr6:coauthVersionMax="47" xr10:uidLastSave="{00000000-0000-0000-0000-000000000000}"/>
  <bookViews>
    <workbookView xWindow="-108" yWindow="-108" windowWidth="27288" windowHeight="17544" tabRatio="738" firstSheet="2" activeTab="2" xr2:uid="{00000000-000D-0000-FFFF-FFFF00000000}"/>
  </bookViews>
  <sheets>
    <sheet name="Instructions" sheetId="8" state="hidden" r:id="rId1"/>
    <sheet name="Quote Options" sheetId="46" state="hidden" r:id="rId2"/>
    <sheet name="Cover" sheetId="7" r:id="rId3"/>
    <sheet name="Quote" sheetId="9" state="hidden" r:id="rId4"/>
    <sheet name="Config 1" sheetId="47" r:id="rId5"/>
    <sheet name="Settings" sheetId="13" state="hidden" r:id="rId6"/>
    <sheet name="Temp" sheetId="14" state="hidden" r:id="rId7"/>
  </sheets>
  <definedNames>
    <definedName name="_xlnm._FilterDatabase" localSheetId="4" hidden="1">'Config 1'!$B$1:$B$53</definedName>
    <definedName name="_xlnm._FilterDatabase" localSheetId="3" hidden="1">Quote!$B$1:$B$58</definedName>
    <definedName name="Acceptance">Cover!$F$18</definedName>
    <definedName name="Address1">Cover!$C$25</definedName>
    <definedName name="Address2">Cover!$C$26</definedName>
    <definedName name="Address3">Cover!$C$27</definedName>
    <definedName name="CartQuoteName">Cover!$C$14</definedName>
    <definedName name="CityStateZip">Cover!$C$28</definedName>
    <definedName name="Company">Cover!$C$24</definedName>
    <definedName name="Config1Subtotal" localSheetId="4">'Config 1'!$P$50</definedName>
    <definedName name="Config1Subtotal">Quote!$Q$50</definedName>
    <definedName name="ContactName">Cover!$C$23</definedName>
    <definedName name="Country">Cover!$C$29</definedName>
    <definedName name="CoverFooter1">Cover!$B$36</definedName>
    <definedName name="CoverFooter2">Cover!$B$37</definedName>
    <definedName name="CoverFooter3">Cover!$B$38</definedName>
    <definedName name="Currency">Cover!$C$19</definedName>
    <definedName name="DataFrameworksEULARow">Cover!$39:$39</definedName>
    <definedName name="Description" localSheetId="4">'Config 1'!$C:$C</definedName>
    <definedName name="Description">Quote!$C:$C</definedName>
    <definedName name="Disclaimer">Cover!$B$41</definedName>
    <definedName name="DisclaimerText">Settings!$C$29</definedName>
    <definedName name="Discount" localSheetId="4">'Config 1'!$J:$J</definedName>
    <definedName name="Discount">Quote!$J:$J</definedName>
    <definedName name="Email">Cover!$C$31</definedName>
    <definedName name="EstimatedDelivery">Cover!$F$16</definedName>
    <definedName name="ExtendedPrice" localSheetId="4">'Config 1'!$O:$O</definedName>
    <definedName name="ExtendedPrice">Quote!$P:$P</definedName>
    <definedName name="Freight" localSheetId="4">'Config 1'!$L:$L</definedName>
    <definedName name="Freight">Quote!$M:$M</definedName>
    <definedName name="LeadTime" localSheetId="4">'Config 1'!#REF!</definedName>
    <definedName name="LeadTime">Quote!$L:$L</definedName>
    <definedName name="ListPrice" localSheetId="4">'Config 1'!$E:$E</definedName>
    <definedName name="ListPrice">Quote!$E:$E</definedName>
    <definedName name="MediaWithinConfigurationChoices">Settings!$D$8:$D$9</definedName>
    <definedName name="ModelNumber" localSheetId="4">'Config 1'!$B:$B</definedName>
    <definedName name="ModelNumber">Quote!$B:$B</definedName>
    <definedName name="NetPrice" localSheetId="4">'Config 1'!$N:$N</definedName>
    <definedName name="NetPrice">Quote!$O:$O</definedName>
    <definedName name="Notes">Cover!$F$19</definedName>
    <definedName name="NumberOfTermsPages">Settings!$C$26</definedName>
    <definedName name="OpportunityNumber">Cover!$C$13</definedName>
    <definedName name="OrderPlacement">Cover!$F$17</definedName>
    <definedName name="Phone">Cover!$C$30</definedName>
    <definedName name="PriceColumnChoices">Settings!$B$8:$B$23</definedName>
    <definedName name="_xlnm.Print_Area" localSheetId="4">'Config 1'!$4:$54</definedName>
    <definedName name="_xlnm.Print_Area" localSheetId="3">Quote!$4:$59</definedName>
    <definedName name="_xlnm.Print_Titles" localSheetId="4">'Config 1'!$7:$7</definedName>
    <definedName name="_xlnm.Print_Titles" localSheetId="3">Quote!$7:$7</definedName>
    <definedName name="ProductGroup" localSheetId="4">'Config 1'!#REF!</definedName>
    <definedName name="ProductGroup">Quote!#REF!</definedName>
    <definedName name="QAddr1" localSheetId="4">'Config 1'!#REF!</definedName>
    <definedName name="QAddr1">Quote!#REF!</definedName>
    <definedName name="QAddr2" localSheetId="4">'Config 1'!#REF!</definedName>
    <definedName name="QAddr2">Quote!#REF!</definedName>
    <definedName name="QAddr3" localSheetId="4">'Config 1'!#REF!</definedName>
    <definedName name="QAddr3">Quote!#REF!</definedName>
    <definedName name="QCity" localSheetId="4">'Config 1'!#REF!</definedName>
    <definedName name="QCity">Quote!#REF!</definedName>
    <definedName name="QCountry" localSheetId="4">'Config 1'!#REF!</definedName>
    <definedName name="QCountry">Quote!#REF!</definedName>
    <definedName name="QCurrency" localSheetId="4">'Config 1'!#REF!</definedName>
    <definedName name="QCurrency">Quote!#REF!</definedName>
    <definedName name="QDRNumber">Cover!$B$11</definedName>
    <definedName name="QID" localSheetId="4">'Config 1'!#REF!</definedName>
    <definedName name="QID">Quote!#REF!</definedName>
    <definedName name="QName" localSheetId="4">'Config 1'!#REF!</definedName>
    <definedName name="QName">Quote!#REF!</definedName>
    <definedName name="QOIP" localSheetId="4">'Config 1'!#REF!</definedName>
    <definedName name="QOIP">Quote!#REF!</definedName>
    <definedName name="QOppyNum" localSheetId="4">'Config 1'!#REF!</definedName>
    <definedName name="QOppyNum">Quote!#REF!</definedName>
    <definedName name="QPartner" localSheetId="4">'Config 1'!#REF!</definedName>
    <definedName name="QPartner">Quote!#REF!</definedName>
    <definedName name="QPartnerType" localSheetId="4">'Config 1'!#REF!</definedName>
    <definedName name="QPartnerType">Quote!#REF!</definedName>
    <definedName name="QQSREmail" localSheetId="4">'Config 1'!#REF!</definedName>
    <definedName name="QQSREmail">Quote!#REF!</definedName>
    <definedName name="QQSRName" localSheetId="4">'Config 1'!#REF!</definedName>
    <definedName name="QQSRName">Quote!#REF!</definedName>
    <definedName name="QQSRPhone" localSheetId="4">'Config 1'!#REF!</definedName>
    <definedName name="QQSRPhone">Quote!#REF!</definedName>
    <definedName name="QRegion" localSheetId="4">'Config 1'!#REF!</definedName>
    <definedName name="QRegion">Quote!#REF!</definedName>
    <definedName name="QSREmail">Cover!$F$12</definedName>
    <definedName name="QSRPhone">Cover!$F$11</definedName>
    <definedName name="QState" localSheetId="4">'Config 1'!#REF!</definedName>
    <definedName name="QState">Quote!#REF!</definedName>
    <definedName name="QStatus" localSheetId="4">'Config 1'!#REF!</definedName>
    <definedName name="QStatus">Quote!#REF!</definedName>
    <definedName name="Qty" localSheetId="4">'Config 1'!$M:$M</definedName>
    <definedName name="Qty">Quote!$N:$N</definedName>
    <definedName name="QuoteDate">Cover!$C$15</definedName>
    <definedName name="QuoteFormatChoices">Settings!$C$8:$C$9</definedName>
    <definedName name="QuoteNumber">Cover!$C$10</definedName>
    <definedName name="QuoteOptions_DiscountSourceColumn">'Quote Options'!$B$13</definedName>
    <definedName name="QuoteOptions_InstallationLocation">'Quote Options'!$B$6</definedName>
    <definedName name="QuoteOptions_ItemNotes">'Quote Options'!$B$11</definedName>
    <definedName name="QuoteOptions_LeadTime">'Quote Options'!$B$7</definedName>
    <definedName name="QuoteOptions_MediaBanner">'Quote Options'!$B$15</definedName>
    <definedName name="QuoteOptions_MediaWithinConfigs">'Quote Options'!$B$14</definedName>
    <definedName name="QuoteOptions_MediaWithinConfigurations">'Quote Options'!$B$14</definedName>
    <definedName name="QuoteOptions_QuoteFormat">'Quote Options'!$B$5</definedName>
    <definedName name="QuoteOptions_ServiceContractDates">'Quote Options'!$B$10</definedName>
    <definedName name="QuoteOptions_ServiceLevel">'Quote Options'!$B$8</definedName>
    <definedName name="QuoteOptions_ServiceZone">'Quote Options'!$B$9</definedName>
    <definedName name="QuoteOptions_UnitPriceSourceColumn">'Quote Options'!$B$12</definedName>
    <definedName name="QuoteStatus">Cover!$C$17</definedName>
    <definedName name="QuoteSummaryTotal">#REF!</definedName>
    <definedName name="QuoteWorksheetAdditionalText">Settings!$C$28</definedName>
    <definedName name="QUserEmail" localSheetId="4">'Config 1'!#REF!</definedName>
    <definedName name="QUserEmail">Quote!#REF!</definedName>
    <definedName name="QUserName" localSheetId="4">'Config 1'!#REF!</definedName>
    <definedName name="QUserName">Quote!#REF!</definedName>
    <definedName name="QUserPhone" localSheetId="4">'Config 1'!#REF!</definedName>
    <definedName name="QUserPhone">Quote!#REF!</definedName>
    <definedName name="QZip" localSheetId="4">'Config 1'!#REF!</definedName>
    <definedName name="QZip">Quote!#REF!</definedName>
    <definedName name="QZone" localSheetId="4">'Config 1'!#REF!</definedName>
    <definedName name="QZone">Quote!#REF!</definedName>
    <definedName name="Region">Cover!$C$20</definedName>
    <definedName name="SPRNumber">Cover!$C$12</definedName>
    <definedName name="Supplier">"C11"</definedName>
    <definedName name="TandC">Cover!$F$15</definedName>
    <definedName name="TemplateVersion">Instructions!$A$2</definedName>
    <definedName name="Test">#REF!</definedName>
    <definedName name="Total" localSheetId="4">'Config 1'!$P:$P</definedName>
    <definedName name="Total">Quote!$Q:$Q</definedName>
    <definedName name="UnitPrice" localSheetId="4">'Config 1'!$E:$E</definedName>
    <definedName name="UnitPrice">Quote!$E:$E</definedName>
    <definedName name="UnitPriceColumnChoices">Settings!$B$8:$B$23</definedName>
    <definedName name="ValidDate">Cover!$C$16</definedName>
    <definedName name="Zone">Cover!$C$18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46" i="47" l="1"/>
  <c r="O46" i="47" s="1"/>
  <c r="N44" i="47"/>
  <c r="O44" i="47" s="1"/>
  <c r="P48" i="47" s="1"/>
  <c r="N41" i="47"/>
  <c r="O41" i="47" s="1"/>
  <c r="N39" i="47"/>
  <c r="O39" i="47" s="1"/>
  <c r="N37" i="47"/>
  <c r="O37" i="47" s="1"/>
  <c r="N34" i="47"/>
  <c r="O34" i="47" s="1"/>
  <c r="N32" i="47"/>
  <c r="O32" i="47" s="1"/>
  <c r="N30" i="47"/>
  <c r="O30" i="47" s="1"/>
  <c r="N28" i="47"/>
  <c r="O28" i="47" s="1"/>
  <c r="N25" i="47"/>
  <c r="O25" i="47" s="1"/>
  <c r="N23" i="47"/>
  <c r="O23" i="47" s="1"/>
  <c r="N21" i="47"/>
  <c r="O21" i="47" s="1"/>
  <c r="N19" i="47"/>
  <c r="O19" i="47" s="1"/>
  <c r="N17" i="47"/>
  <c r="O17" i="47" s="1"/>
  <c r="N15" i="47"/>
  <c r="O15" i="47" s="1"/>
  <c r="A5" i="47"/>
  <c r="O46" i="9"/>
  <c r="P46" i="9" s="1"/>
  <c r="O44" i="9"/>
  <c r="P44" i="9" s="1"/>
  <c r="Q48" i="9" s="1"/>
  <c r="O41" i="9"/>
  <c r="P41" i="9" s="1"/>
  <c r="O39" i="9"/>
  <c r="P39" i="9" s="1"/>
  <c r="O37" i="9"/>
  <c r="P37" i="9" s="1"/>
  <c r="O34" i="9"/>
  <c r="P34" i="9" s="1"/>
  <c r="O32" i="9"/>
  <c r="P32" i="9" s="1"/>
  <c r="O30" i="9"/>
  <c r="P30" i="9" s="1"/>
  <c r="O28" i="9"/>
  <c r="P28" i="9" s="1"/>
  <c r="O25" i="9"/>
  <c r="P25" i="9" s="1"/>
  <c r="O23" i="9"/>
  <c r="P23" i="9" s="1"/>
  <c r="O21" i="9"/>
  <c r="P21" i="9" s="1"/>
  <c r="O19" i="9"/>
  <c r="P19" i="9" s="1"/>
  <c r="O17" i="9"/>
  <c r="P17" i="9" s="1"/>
  <c r="O15" i="9"/>
  <c r="P15" i="9" s="1"/>
  <c r="Q27" i="9" s="1"/>
  <c r="O8" i="9"/>
  <c r="P8" i="9" s="1"/>
  <c r="Q8" i="9" s="1"/>
  <c r="A5" i="9"/>
  <c r="P43" i="47" l="1"/>
  <c r="P36" i="47"/>
  <c r="P27" i="47"/>
  <c r="Q53" i="9"/>
  <c r="Q43" i="9"/>
  <c r="Q36" i="9"/>
  <c r="E2" i="13"/>
  <c r="E3" i="13"/>
  <c r="E4" i="13"/>
  <c r="A6" i="8"/>
  <c r="A7" i="8" s="1"/>
  <c r="A8" i="8" s="1"/>
  <c r="A9" i="8" s="1"/>
  <c r="A10" i="8" s="1"/>
  <c r="A11" i="8" s="1"/>
  <c r="A12" i="8" s="1"/>
  <c r="A13" i="8" s="1"/>
  <c r="A14" i="8" s="1"/>
  <c r="A15" i="8" s="1"/>
  <c r="A16" i="8" s="1"/>
  <c r="A17" i="8" s="1"/>
  <c r="A18" i="8" s="1"/>
  <c r="A19" i="8" s="1"/>
  <c r="A20" i="8" s="1"/>
  <c r="A21" i="8" s="1"/>
  <c r="Q50" i="9" l="1"/>
  <c r="P50"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Brenkman</author>
  </authors>
  <commentList>
    <comment ref="E1" authorId="0" shapeId="0" xr:uid="{00000000-0006-0000-0400-000001000000}">
      <text>
        <r>
          <rPr>
            <b/>
            <sz val="8"/>
            <color indexed="81"/>
            <rFont val="Tahoma"/>
            <family val="2"/>
          </rPr>
          <t>Gary Brenkman:</t>
        </r>
        <r>
          <rPr>
            <sz val="8"/>
            <color indexed="81"/>
            <rFont val="Tahoma"/>
            <family val="2"/>
          </rPr>
          <t xml:space="preserve">
The NAM column duplicates the info in the NA column. Need to have column labeled NA since that’s the value Comergent uses and one labeled NAM because that's what BigMachines uses.</t>
        </r>
      </text>
    </comment>
  </commentList>
</comments>
</file>

<file path=xl/sharedStrings.xml><?xml version="1.0" encoding="utf-8"?>
<sst xmlns="http://schemas.openxmlformats.org/spreadsheetml/2006/main" count="713" uniqueCount="269">
  <si>
    <t>Service Zone</t>
  </si>
  <si>
    <t>Switch back to this quote template file.</t>
  </si>
  <si>
    <t>Footer2</t>
  </si>
  <si>
    <t>Footer3</t>
  </si>
  <si>
    <t>APAC</t>
  </si>
  <si>
    <t>EMEA</t>
  </si>
  <si>
    <t>Company</t>
  </si>
  <si>
    <t>Contact Name</t>
  </si>
  <si>
    <t>Country</t>
  </si>
  <si>
    <t>New in this version:</t>
  </si>
  <si>
    <t>Price Quote</t>
  </si>
  <si>
    <t>City, State ZIP</t>
  </si>
  <si>
    <t>Currency</t>
  </si>
  <si>
    <t>Region</t>
  </si>
  <si>
    <t>NA</t>
  </si>
  <si>
    <t>Footer1</t>
  </si>
  <si>
    <r>
      <t xml:space="preserve">With cell A1 selected (the default) in the unformatted quote, press </t>
    </r>
    <r>
      <rPr>
        <b/>
        <sz val="9"/>
        <rFont val="Arial"/>
        <family val="2"/>
      </rPr>
      <t>Ctrl+A TWICE</t>
    </r>
    <r>
      <rPr>
        <sz val="9"/>
        <rFont val="Arial"/>
        <family val="2"/>
      </rPr>
      <t xml:space="preserve"> to select all the quote information.</t>
    </r>
  </si>
  <si>
    <t>Customer</t>
  </si>
  <si>
    <t>Quote By</t>
  </si>
  <si>
    <t>Quotation Date</t>
  </si>
  <si>
    <t>Valid Until</t>
  </si>
  <si>
    <t>Quotation #</t>
  </si>
  <si>
    <t xml:space="preserve"> </t>
  </si>
  <si>
    <t xml:space="preserve"> Quantum</t>
  </si>
  <si>
    <t>Quotation</t>
  </si>
  <si>
    <t>Quantum Marketplace Quote Template</t>
  </si>
  <si>
    <t>General Use Instructions -- Print this page for future reference</t>
  </si>
  <si>
    <t>Worksheet should be protected, but workbook should be unprotected.</t>
  </si>
  <si>
    <t>NOTE: If you get an Error 1004, it means that you haven't copied the unformatted quote text. Click End, then repeat the instructions starting at step 7.</t>
  </si>
  <si>
    <r>
      <t xml:space="preserve">Press </t>
    </r>
    <r>
      <rPr>
        <b/>
        <sz val="9"/>
        <rFont val="Arial"/>
        <family val="2"/>
      </rPr>
      <t>Ctrl+C</t>
    </r>
    <r>
      <rPr>
        <sz val="9"/>
        <rFont val="Arial"/>
        <family val="2"/>
      </rPr>
      <t xml:space="preserve"> to copy the quote information.</t>
    </r>
  </si>
  <si>
    <t>Address</t>
  </si>
  <si>
    <t>Phone Number</t>
  </si>
  <si>
    <t>E-mail</t>
  </si>
  <si>
    <t>Comments</t>
  </si>
  <si>
    <t>E-mail:  ApacSales.Admin@quantum.com; Fax: +65 6330-1132</t>
  </si>
  <si>
    <t>D</t>
  </si>
  <si>
    <t>E</t>
  </si>
  <si>
    <t>F</t>
  </si>
  <si>
    <t>G</t>
  </si>
  <si>
    <t>E-mail: sales-orders@quantum.com</t>
  </si>
  <si>
    <t>Notes</t>
  </si>
  <si>
    <t>Terms &amp; Conditions</t>
  </si>
  <si>
    <t>Estimated Delivery</t>
  </si>
  <si>
    <t>Order Placement</t>
  </si>
  <si>
    <t>Acceptance</t>
  </si>
  <si>
    <t>E-mail: emeaorders@quantum.com</t>
  </si>
  <si>
    <t>Quantum Corporation c/o Quantum Storage Singapore Pte Ltd</t>
  </si>
  <si>
    <t>Unit Price is Column:</t>
  </si>
  <si>
    <t>Number of Terms Pages</t>
  </si>
  <si>
    <t>QDR #</t>
  </si>
  <si>
    <t>NOTE: The Extended Price is based on multiplying the item quantity by the price column that you select as the source in the drop-down list in cell B2 on the Quote worksheet tab.</t>
  </si>
  <si>
    <t>NAM</t>
  </si>
  <si>
    <t>SPR #</t>
  </si>
  <si>
    <t>Quote Worksheet Additional Text</t>
  </si>
  <si>
    <t>Quantum is committed to a superior customer experience. Customers who do not take advantage of our point of sale maintenance offers will have an opportunity to uplift or extend their agreements at a discounted rate.</t>
  </si>
  <si>
    <t>NOTE: You can save a quote after it has been prepared, but do not save this template file (prior to using the Start button) on a local system. Use the Quote Template link on the Proposal Options tab in QuoteMachine each and every time you prepare a quote. The template is updated frequently and clicking the link ensures you are using the most recent version.</t>
  </si>
  <si>
    <t>Create a quote in QuoteMachine that contains the configuration(s) and additional items selected from the Part Search or select an existing quote.</t>
  </si>
  <si>
    <t>Click the Proposals Options tab.</t>
  </si>
  <si>
    <t>Click the View Proposal Excel button.</t>
  </si>
  <si>
    <r>
      <t xml:space="preserve">If you see a message noting that the file is in a different format, click </t>
    </r>
    <r>
      <rPr>
        <b/>
        <sz val="9"/>
        <rFont val="Arial"/>
        <family val="2"/>
      </rPr>
      <t>Yes.</t>
    </r>
  </si>
  <si>
    <r>
      <t xml:space="preserve">A blank window may appear that you can ignore. Wait a few moments for the download to start and when prompted, select </t>
    </r>
    <r>
      <rPr>
        <b/>
        <sz val="9"/>
        <rFont val="Arial"/>
        <family val="2"/>
      </rPr>
      <t>Open.</t>
    </r>
  </si>
  <si>
    <t>Your unformatted cart/quote will open in Excel (if Excel is already running, you may have to click the Excel button at the bottom of your screen and select the 'print_dialog.jsp' file.</t>
  </si>
  <si>
    <t>H</t>
  </si>
  <si>
    <t>I</t>
  </si>
  <si>
    <t>J</t>
  </si>
  <si>
    <t>K</t>
  </si>
  <si>
    <t>L</t>
  </si>
  <si>
    <t>M</t>
  </si>
  <si>
    <t>N</t>
  </si>
  <si>
    <t>O</t>
  </si>
  <si>
    <t>P</t>
  </si>
  <si>
    <t>Q</t>
  </si>
  <si>
    <t>R</t>
  </si>
  <si>
    <t>Quote Options</t>
  </si>
  <si>
    <t>Select quote format options below.</t>
  </si>
  <si>
    <t>Quote Format:</t>
  </si>
  <si>
    <t>Item Notes:</t>
  </si>
  <si>
    <t>Discount % Source Column:</t>
  </si>
  <si>
    <t>Media Within Configurations:</t>
  </si>
  <si>
    <t>Price Column Choices</t>
  </si>
  <si>
    <t>Separate Tabs</t>
  </si>
  <si>
    <t>Single Tab</t>
  </si>
  <si>
    <t>Combined</t>
  </si>
  <si>
    <t>Separate</t>
  </si>
  <si>
    <t>Quote Format Choices</t>
  </si>
  <si>
    <t>Media Within Configuration Choices</t>
  </si>
  <si>
    <t>Hide</t>
  </si>
  <si>
    <t>Unit Price Source Column:</t>
  </si>
  <si>
    <t>Discount is Column:</t>
  </si>
  <si>
    <t>Show</t>
  </si>
  <si>
    <t>DOUBLE-CLICK TO VIEW/PRINT TERMS &amp; CONDITIONS</t>
  </si>
  <si>
    <t>Make additional changes, such as hiding pricing columns, as required.</t>
  </si>
  <si>
    <r>
      <t xml:space="preserve">Click the </t>
    </r>
    <r>
      <rPr>
        <b/>
        <sz val="9"/>
        <rFont val="Arial"/>
        <family val="2"/>
      </rPr>
      <t>Start</t>
    </r>
    <r>
      <rPr>
        <sz val="9"/>
        <rFont val="Arial"/>
        <family val="2"/>
      </rPr>
      <t xml:space="preserve"> button above. The copied quote will be reformatted. This may take a few moments.</t>
    </r>
  </si>
  <si>
    <r>
      <t xml:space="preserve">WHENEVER YOU USE THIS TEMPLATE, IF YOU SEE A SECURITY WARNING BANNER AT THE TOP OF THE SCREEN, </t>
    </r>
    <r>
      <rPr>
        <b/>
        <sz val="9"/>
        <rFont val="Arial"/>
        <family val="2"/>
      </rPr>
      <t>CLICK THE "ENABLE EDITING" THEN THE "ENABLE CONTENT" BUTTONS.</t>
    </r>
  </si>
  <si>
    <t>NOTE: Once media is separated into separate OpEx sections, it cannot be reversed.</t>
  </si>
  <si>
    <t>Quote Name</t>
  </si>
  <si>
    <t>Phone: (949) 856-7800  • Fax: (949) 856-7797</t>
  </si>
  <si>
    <t>Opportunity #</t>
  </si>
  <si>
    <t>Media Banner:</t>
  </si>
  <si>
    <t>Installation Location:</t>
  </si>
  <si>
    <t>Service Zone:</t>
  </si>
  <si>
    <t>Service Contract Dates:</t>
  </si>
  <si>
    <t>(terms PDF moved to Cover worksheet)</t>
  </si>
  <si>
    <t>Remit to: Quantum Corporation • PO BOX 933085 • Cleveland, OH 44193</t>
  </si>
  <si>
    <t>DataFrameworks End-User License Agreement</t>
  </si>
  <si>
    <t>Phone: +41 44 276 15 15 • Fax: +49 899 430 35 55</t>
  </si>
  <si>
    <t>QUANTUM CORPORATION • c/o Quantum Storage GmbH • Max-Högger-Strasse 2 • 8048 Zürich • Switzerland</t>
  </si>
  <si>
    <t>To save as a PDF file: Use File &gt; Save As. Navigate to the appropriate folder, enter a file name, select PDF from the Save As Type drop-down list and click Save. DO NOT USE File &gt; Print to Adobe PDF.</t>
  </si>
  <si>
    <t>Unless specifically included in this quote, Quantum is not providing equipment racks, Fibre Channel switches, Ethernet switches, interface cables or other items. Consult the "Quantum Price Book" for full descriptions of what is included with each product/service item model number.</t>
  </si>
  <si>
    <t>S</t>
  </si>
  <si>
    <r>
      <rPr>
        <b/>
        <sz val="9"/>
        <rFont val="Arial"/>
        <family val="2"/>
      </rPr>
      <t>EXCEL:</t>
    </r>
    <r>
      <rPr>
        <sz val="9"/>
        <rFont val="Arial"/>
        <family val="2"/>
      </rPr>
      <t xml:space="preserve"> If you've never used this template before, click the File menu tab, click Options at the left, click Trust Center on the left, click the Trust Center Settings button, click Macro Settings on the left, then select the 'Disable all macros with notification' option. Click OK twice. Then close this template. Excel will remember your settings. </t>
    </r>
  </si>
  <si>
    <t xml:space="preserve">If you did not see the security warning banner or clicking the Start button doesn't do anything, your PC may be set by your IT department to permanently disable macros that must be activated in order for this template to work. You should contact IT and discuss ways to allow downloading the template and allowing macros. Some users have had success by clicking the File menu tab, clicking Options at the left, clicking Trust Center on the left, clicking the Trust Center Settings button, clicking Macro Settings on the left, then select the 'Disable all macros except digitally signed macros' option. Click OK twice. Then close this template. Excel will remember your settings. </t>
  </si>
  <si>
    <t>NOTE: It can be risky if you change the quantity of any item in a downloaded quote because you may create an illegal configuration. If you need to change quantities, go back to the quote in QuoteMachine and change it there. Click the Configure (gear) button in the quote to re-configure the system.</t>
  </si>
  <si>
    <t>NOTE: The template works correctly if you have only one instance of Excel running (perhaps with multiple files open in the single Excel program). This is the mode that most users will typically be using. However, the template will not work correctly if you have multiple instances of Excel running (multiple copies of the program running with separate set(s) of files open in each instance). Multiple instances are created if you hold down the Alt key when you start Excel while you already have Excel running or may be created when running dual monitors. Prior to using the template, please close down all instances except the one that includes the unformatted source worksheet.</t>
  </si>
  <si>
    <t>System Lead Time:</t>
  </si>
  <si>
    <t>Quote Status</t>
  </si>
  <si>
    <t>Disclaimer Text</t>
  </si>
  <si>
    <t>This quote includes non-binding prices for budgetary purposes only.</t>
  </si>
  <si>
    <t>Service Descriptions for Quantum Operational Services Essentials</t>
  </si>
  <si>
    <t>https://get.adobe.com/reader/otherversions/</t>
  </si>
  <si>
    <t>Service Level:</t>
  </si>
  <si>
    <t>Regus Vision Exchange, 2 Venture Drive, Level #24-01 - #24-32, Singapore 608526</t>
  </si>
  <si>
    <t>Removed Surcharge note on Cover page.</t>
  </si>
  <si>
    <t>Version 141 (25MAR25)</t>
  </si>
  <si>
    <t xml:space="preserve">You may have to switch to the Acrobat Reader window to see the contents. Requires Adobe Acrobat Reader or Reader DC. Get it here: </t>
  </si>
  <si>
    <t>PO Number:</t>
  </si>
  <si>
    <t/>
  </si>
  <si>
    <t>QDR #:</t>
  </si>
  <si>
    <t>Display Type:</t>
  </si>
  <si>
    <t>sPR</t>
  </si>
  <si>
    <t>CART ID:</t>
  </si>
  <si>
    <t>2025-404752</t>
  </si>
  <si>
    <t>Number of Configurations:</t>
  </si>
  <si>
    <t>Cart Name:</t>
  </si>
  <si>
    <t>Jackson Hewitt-i3</t>
  </si>
  <si>
    <t>Quote Type:</t>
  </si>
  <si>
    <t>multiSystemSyncToSFDC</t>
  </si>
  <si>
    <t>1</t>
  </si>
  <si>
    <t>Status:</t>
  </si>
  <si>
    <t>Pending</t>
  </si>
  <si>
    <t>Currency:</t>
  </si>
  <si>
    <t>USD</t>
  </si>
  <si>
    <t>Valid Until:</t>
  </si>
  <si>
    <t>2025-12-21 00:00:00</t>
  </si>
  <si>
    <t>Region:</t>
  </si>
  <si>
    <t>Budgetary:</t>
  </si>
  <si>
    <t>true</t>
  </si>
  <si>
    <t>Opportunity #:</t>
  </si>
  <si>
    <t>707781</t>
  </si>
  <si>
    <t>Freight Required:</t>
  </si>
  <si>
    <t>false</t>
  </si>
  <si>
    <t>Partner Type:</t>
  </si>
  <si>
    <t>Distributor</t>
  </si>
  <si>
    <t>Apply QDR Price:</t>
  </si>
  <si>
    <t>Partner Level:</t>
  </si>
  <si>
    <t>Partner:</t>
  </si>
  <si>
    <t>Jackson Hewitt</t>
  </si>
  <si>
    <t>Street:</t>
  </si>
  <si>
    <t>501 N Cattlemen Rd Ste 300</t>
  </si>
  <si>
    <t>Serial Number:</t>
  </si>
  <si>
    <t>Address2:</t>
  </si>
  <si>
    <t>Address3-2.0:</t>
  </si>
  <si>
    <t>City/State/Postal/Country:</t>
  </si>
  <si>
    <t>Sarasota</t>
  </si>
  <si>
    <t>Florida</t>
  </si>
  <si>
    <t>34242</t>
  </si>
  <si>
    <t>United States</t>
  </si>
  <si>
    <t>Partner User:</t>
  </si>
  <si>
    <t>DataFrameworks:</t>
  </si>
  <si>
    <t>Phone:</t>
  </si>
  <si>
    <t>(941) 378-7212</t>
  </si>
  <si>
    <t>Email:</t>
  </si>
  <si>
    <t>QSR Name:</t>
  </si>
  <si>
    <t>Expected to be Ordered</t>
  </si>
  <si>
    <t>Model Number</t>
  </si>
  <si>
    <t>Description</t>
  </si>
  <si>
    <t>Product Group</t>
  </si>
  <si>
    <t>List Price(USD)</t>
  </si>
  <si>
    <t>Disti Discount</t>
  </si>
  <si>
    <t>Disti Price(USD)</t>
  </si>
  <si>
    <t>Disti Expert QDR Discount</t>
  </si>
  <si>
    <t>Disti Expert QDR Price(USD)</t>
  </si>
  <si>
    <t>Discount</t>
  </si>
  <si>
    <t>Supplier</t>
  </si>
  <si>
    <t>Lead Time</t>
  </si>
  <si>
    <t>Freight(USD)</t>
  </si>
  <si>
    <t>Qty</t>
  </si>
  <si>
    <t>Unit Price(USD)</t>
  </si>
  <si>
    <t>Extended Price(USD)</t>
  </si>
  <si>
    <t>Total</t>
  </si>
  <si>
    <t>Yes</t>
  </si>
  <si>
    <t>SCALAR i3/ i6/ AEL6</t>
  </si>
  <si>
    <t>Configured System</t>
  </si>
  <si>
    <t>Location</t>
  </si>
  <si>
    <t>Installation Location: Sarasota, United States, 34242</t>
  </si>
  <si>
    <t>Zone</t>
  </si>
  <si>
    <t>Service Zone: zone 1</t>
  </si>
  <si>
    <t>Service Level</t>
  </si>
  <si>
    <t>Service Level: GOLD</t>
  </si>
  <si>
    <t>System Lead Time: i3: 3 WEEKS i6: 3 WEEKS</t>
  </si>
  <si>
    <t>Contract_End</t>
  </si>
  <si>
    <t xml:space="preserve">Service Contract End Date: </t>
  </si>
  <si>
    <t>LSC33-BSC0-001A</t>
  </si>
  <si>
    <t>Quantum Scalar i3 Library, 3U Control Module, 25 licensed slots, no tape drives, equipment rack must support product depth of 36.4in (92.5cm)</t>
  </si>
  <si>
    <t>Hardware</t>
  </si>
  <si>
    <t>Quantum</t>
  </si>
  <si>
    <t>Base library with no tape drives included. Used whenever an expansion module is not initially needed (i.e., initial configuration is up to 50 slots and up to three tape drives). If larger initial configuration (more than 50 slots and more than three tape drives) is needed or customer wants a base system with a pre-installed expansion module to accommodate easier future expansion, order LSC33-BSJ0-001A. Includes 3U library control module with embedded Ethernet, partitioning capability, 25-slot license, 3U rackmount kit, one power supply, one 3ft (0.9m) C13-C14 and one 3ft (0.9m) L-5-15 power cords. Supports up to a maximum of 50 slots and three tape drives before an Expansion Module is needed. Scalar i3 SAS tape drives require a mini-SAS-HD 8644 connector on the SAS cable. Does not include an expansion module, tape drives, Fibre Channel or Ethernet cables. Other types of power cords should be locally sourced. Media labels are not included. Maximum of seven expansion modules, 24 tape drives and 400 licensed slots per i3 library. Requires standard 19in (48.2cm) four-post rack that supports a minimum product depth of 36.4in (925mm) or has an external rack depth at least 42.13in (107.0cm) deep, such as APC AR3100. Customer installable, but phone-based installation (LSC33-NSYN-PB00) or onsite installation (LSC33-NSYS-000) is recommended.</t>
  </si>
  <si>
    <t>LSC33-ATDX-L7JA</t>
  </si>
  <si>
    <t>Quantum Scalar i3 IBM LTO-7 Tape Drive Module, Half Height, 8Gb native Fibre Channel, Single Port</t>
  </si>
  <si>
    <t>For use with Scalar i3 libraries. Does not include licenses for Advanced Control Path Failover or Encryption. Compatible with Scalar Key Manager and Third-Party encryption license keys. Maximum of three drives per module. Does not include Fibre Channel cables. Customer installable, but onsite tape drive installation (LSC33-NTD1-000x) is recommended.</t>
  </si>
  <si>
    <t>LSC3A-AMAG-ST1A</t>
  </si>
  <si>
    <t>Quantum Scalar i3 and i6 Ransom Block Magazine Eject Stop Kit (Qty 2 Stops)</t>
  </si>
  <si>
    <t>LSC33-APWR-001A</t>
  </si>
  <si>
    <t>Quantum Scalar i3 Power Supply, 80 Plus Certified Energy Efficient</t>
  </si>
  <si>
    <t>Power supply for use with all Scalar i3 modules. Includes one power supply, one 3ft (0.9m) C13-C14 and one 3ft (0.9m) L-5-15 power cords. Other types of power cords should be locally sourced. The control module (CM) includes one power supply. Add one power for redundant power in the CM. For each expansion module (EM), also add one power supply if drives or an iBlade are added to the module and add a second power supply to the EM, if redundant power is required.</t>
  </si>
  <si>
    <t>9-03735-01</t>
  </si>
  <si>
    <t>Quantum Fibre Channel Interface Cable, OM3 optical multimode 50 micron, LC-to-LC, 24.5ft (7.5m)</t>
  </si>
  <si>
    <t>TARIFF</t>
  </si>
  <si>
    <t>Tariff Surcharge</t>
  </si>
  <si>
    <t>Hardware Subtotal</t>
  </si>
  <si>
    <t>LSC33-ALSE-001A</t>
  </si>
  <si>
    <t>Quantum Scalar i3 25-Slot Capacity on Demand Upgrade License</t>
  </si>
  <si>
    <t>Software</t>
  </si>
  <si>
    <t>Activates 25-slots. Order to expand control module from 25 to 50 slots. Up to two 25-slot licenses may be ordered for each 3U expansion module. Maximum seven expansion modules with a maximum of 400 slots per library. This is a library-based license that cannot be transferred to another library.</t>
  </si>
  <si>
    <t>LSC33-ALAR-001A</t>
  </si>
  <si>
    <t>Quantum Scalar i3 Advanced Reporting Option License</t>
  </si>
  <si>
    <t>Enables additional reporting in the library, including Drive Resource Utilization, Drive and Media Tape Alerts, Media Usage, and Media Security Notifications. This is a library-based license that cannot be transferred to another library. Maximum one license per library.</t>
  </si>
  <si>
    <t>LSC33-ALAV-001A</t>
  </si>
  <si>
    <t>Quantum Scalar i3 Active Vault License</t>
  </si>
  <si>
    <t>Enables Active Vault functionality in the system. Provides the ability to create Active Vault system-managed partitions. This feature can use unlicensed slots, but Expansion Modules may be required to provide the necessary physical slot capacity. Support will be provided by the existing system warranty/service contract. This is a library-based license, not a drive license and cannot be transferred to another library. No installation or support is needed.</t>
  </si>
  <si>
    <t>LSC33-ALM1-SKMA</t>
  </si>
  <si>
    <t>Quantum Scalar i3 Library-Managed Encryption License, Scalar Key Manager, single drive</t>
  </si>
  <si>
    <t>License is for use only with Scalar Key Manager, do not use with other key managers or mix with other encryption licensing. Requires SKM version 2.4 software or higher. If the Scalar i3 will be used in an existing SKM environment that is using SKM software 2.2 or lower, then the SKM 2.4 software upgrade requires Quantum installation. This installation is free if done remotely via WebEx (no extra parts quoted). If onsite installation is required for the SKM 2.4 software upgrade, include SKM installation on the quote based on the library installation quoted. If the quote contains Quantum onsite installation for the Scalar i3, quote SLBBB-NEK2-000x for SKM 2.4 installation. If the quote contains Quantum remote phone-WebEx installation for the Scalar i3 or the customer will install the Scalar i3, then quote SLBBB-NEK1-000x for SKM 2.4 installation. Enables communication with Scalar Key Manager for one tape drive. Supported tape drives include IBM LTO-6 or later. Not needed if application-managed encryption is used, e.g., NetBackup key management. The number of encryption licenses should equal the number of drives installed in encryption-enabled partitions. Mixing with non-encrypted drives is allowed, but only in separate partitions (partitioning is included in the base library). Requires drive encryption support (SSC33-RLM1-xL10) for each tape drive license used. Warranty/service level of key-enabled drives must match the service length and level of the system. This is a library-based license that cannot be transferred to another library.</t>
  </si>
  <si>
    <t>Software Subtotal</t>
  </si>
  <si>
    <t>SSC33-RSC0-CD11</t>
  </si>
  <si>
    <t>Quantum Scalar i3 Library, 3U Control Module, 25 licensed slots, no tape drives; Support Plan, NBD Gold (7x24xNBD CRU); annual, zone 1</t>
  </si>
  <si>
    <t>Hardware Support</t>
  </si>
  <si>
    <t>Applicable only to the Control Module without bundled tape drives. Order one per library. Add all slots and tape drives separately. Bronze and NBD Gold support requires self installation of Customer Replaceable Units (CRUs). If customer would like Quantum to provide installation of CRUs, order Onsite Installation of CRUs service option (SSC33-VS06-CD1x).</t>
  </si>
  <si>
    <t>SSC33-RTDX-CD11</t>
  </si>
  <si>
    <t>Quantum Scalar i3 Library, Tape Drive Module, Half Height; Support Plan, NBD Gold (7x24xNBD CRU); annual, zone 1</t>
  </si>
  <si>
    <t>Order one per tape drive. Bronze and NBD Gold support requires self installation of Customer Replaceable Units (CRUs). If customer would like Quantum to provide installation of CRUs, order Onsite Installation of CRUs service option SSC33-VS06-CD1x for configurations up to six drives and SSC33-VT06-CD1x for each additional set of six or fewer drives.</t>
  </si>
  <si>
    <t>SSC33-VS06-CD11</t>
  </si>
  <si>
    <t>Quantum Scalar i3 Library with up to six drives, Quantum Onsite Installation of Customer Replaceable Units (CRUs); Support Plan, NBD Gold (7x24xNBD); annual, zone 1</t>
  </si>
  <si>
    <t>Order one per library (up to six drives; standard and/or EDLM) if customer would like Quantum to provide onsite installation of CRUs instead of self installation. If library has more than six drives, also order one or more CRU installation services (SSC33-VT06-CD1x) for each set of six or fewer additional drives (standard and/or EDLM) in excess of the first six.</t>
  </si>
  <si>
    <t>Hardware Support Subtotal</t>
  </si>
  <si>
    <t>SSC33-RLSE-CD11</t>
  </si>
  <si>
    <t>Quantum Scalar i3, 25-Slot Upgrade; Support Plan, NBD Gold (7x24xNBD CRU); annual, zone 1</t>
  </si>
  <si>
    <t>Software Support</t>
  </si>
  <si>
    <t>Order one for every 25-Slot Upgrade License added to the library.</t>
  </si>
  <si>
    <t>SSC33-RLM1-GL10</t>
  </si>
  <si>
    <t>Quantum Scalar i3 Library, Encryption Key Management Solution per drive; Software Support Plan, Gold (7x24TS); annual, all zones</t>
  </si>
  <si>
    <t>Provides one year of 5x9 telephone support for one Scalar i3 SKM or Third-Party Encryption-Enabled drive. Encryption key management solution support is required for each key-enabled drive, and the contract length and level must match the service contract length and level of the associated library. Order this item for libraries with NBD Gold or Gold support.</t>
  </si>
  <si>
    <t>Software Support Subtotal</t>
  </si>
  <si>
    <t>&lt;&lt;END&gt;&gt;</t>
  </si>
  <si>
    <t>Configuration Subtotal:</t>
  </si>
  <si>
    <t>Cart Total (Quantum sourced items only)</t>
  </si>
  <si>
    <t xml:space="preserve">Pricing in this quote is subject to change due to fluctuations in tariffs imposed by governmental authorities. We reserve the right to adjust prices accordingly and will notify the buyer of any changes. By accepting this quote, the buyer acknowledges this potential for price adjustments.Please note: Applicable shipping charges and sales tax will be applied to your order         </t>
  </si>
  <si>
    <t xml:space="preserve">Once the order is submitted please contact Sales Administration in your region to make any changes.         </t>
  </si>
  <si>
    <t xml:space="preserve">VAR prices (if shown) apply when purchasing applicable products directly from Quantum and are subject to credit worthiness and purchase terms approval from Quantum. Prices may vary when products are purchased from a Quantum-authorized Distributor.         </t>
  </si>
  <si>
    <t>Sarasota, Florida 34242</t>
  </si>
  <si>
    <t>Template Version: Version 141 (25MAR25)</t>
  </si>
  <si>
    <t>Quantum List Price(USD)</t>
  </si>
  <si>
    <t>Quote#</t>
  </si>
  <si>
    <t>Net Price (USD)</t>
  </si>
  <si>
    <t>Extended Price (USD)</t>
  </si>
  <si>
    <t>Discount %</t>
  </si>
  <si>
    <t>Subtotal</t>
  </si>
  <si>
    <t>QUOTE TOTAL</t>
  </si>
  <si>
    <t>Total (Quantum sourced items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</si>
</sst>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0" x14ac:knownFonts="1">
    <font>
      <sz val="10"/>
      <name val="Arial"/>
    </font>
    <font>
      <sz val="10"/>
      <name val="Arial"/>
      <family val="2"/>
    </font>
    <font>
      <sz val="8"/>
      <name val="Arial"/>
      <family val="2"/>
    </font>
    <font>
      <b/>
      <sz val="8"/>
      <name val="Arial"/>
      <family val="2"/>
    </font>
    <font>
      <b/>
      <i/>
      <sz val="12"/>
      <name val="Arial"/>
      <family val="2"/>
    </font>
    <font>
      <u/>
      <sz val="10"/>
      <color indexed="12"/>
      <name val="Arial"/>
      <family val="2"/>
    </font>
    <font>
      <sz val="9"/>
      <name val="Arial"/>
      <family val="2"/>
    </font>
    <font>
      <b/>
      <sz val="10"/>
      <name val="Arial"/>
      <family val="2"/>
    </font>
    <font>
      <b/>
      <sz val="12"/>
      <color indexed="9"/>
      <name val="Arial"/>
      <family val="2"/>
    </font>
    <font>
      <sz val="10"/>
      <name val="Arial"/>
      <family val="2"/>
    </font>
    <font>
      <b/>
      <sz val="9"/>
      <name val="Arial"/>
      <family val="2"/>
    </font>
    <font>
      <sz val="9"/>
      <name val="Arial"/>
      <family val="2"/>
    </font>
    <font>
      <b/>
      <i/>
      <sz val="9"/>
      <name val="Arial"/>
      <family val="2"/>
    </font>
    <font>
      <sz val="10"/>
      <name val="Arial"/>
      <family val="2"/>
    </font>
    <font>
      <b/>
      <sz val="18"/>
      <color indexed="9"/>
      <name val="Arial"/>
      <family val="2"/>
    </font>
    <font>
      <b/>
      <sz val="12"/>
      <name val="Arial"/>
      <family val="2"/>
    </font>
    <font>
      <sz val="8"/>
      <name val="Arial"/>
      <family val="2"/>
    </font>
    <font>
      <b/>
      <sz val="8"/>
      <name val="Arial"/>
      <family val="2"/>
    </font>
    <font>
      <sz val="9"/>
      <color indexed="9"/>
      <name val="Arial"/>
      <family val="2"/>
    </font>
    <font>
      <b/>
      <sz val="8"/>
      <color indexed="9"/>
      <name val="Arial"/>
      <family val="2"/>
    </font>
    <font>
      <sz val="7"/>
      <name val="Arial"/>
      <family val="2"/>
    </font>
    <font>
      <sz val="8"/>
      <color indexed="81"/>
      <name val="Tahoma"/>
      <family val="2"/>
    </font>
    <font>
      <b/>
      <sz val="8"/>
      <color indexed="81"/>
      <name val="Tahoma"/>
      <family val="2"/>
    </font>
    <font>
      <b/>
      <sz val="14"/>
      <name val="Arial"/>
      <family val="2"/>
    </font>
    <font>
      <i/>
      <sz val="10"/>
      <name val="Arial"/>
      <family val="2"/>
    </font>
    <font>
      <u/>
      <sz val="14"/>
      <color indexed="12"/>
      <name val="Arial"/>
      <family val="2"/>
    </font>
    <font>
      <b/>
      <sz val="12"/>
      <color theme="0"/>
      <name val="Arial"/>
      <family val="2"/>
    </font>
    <font>
      <b/>
      <sz val="10"/>
      <color rgb="FF0F73C3"/>
      <name val="Calibri"/>
      <family val="2"/>
      <scheme val="minor"/>
    </font>
    <font>
      <b/>
      <sz val="18"/>
      <color theme="0"/>
      <name val="Arial"/>
      <family val="2"/>
    </font>
    <font>
      <sz val="9"/>
      <color rgb="FFFF0000"/>
      <name val="Arial"/>
      <family val="2"/>
    </font>
    <font>
      <b/>
      <sz val="12"/>
      <color rgb="FFFF0000"/>
      <name val="Arial"/>
      <family val="2"/>
    </font>
    <font>
      <u/>
      <sz val="13"/>
      <color indexed="12"/>
      <name val="Arial"/>
      <family val="2"/>
    </font>
    <font>
      <b/>
      <u/>
      <sz val="10"/>
      <color theme="9" tint="-0.249977111117893"/>
      <name val="Arial"/>
      <family val="2"/>
    </font>
    <font>
      <b/>
      <sz val="9"/>
      <color theme="9" tint="-0.249977111117893"/>
      <name val="Calibri"/>
      <family val="2"/>
      <scheme val="minor"/>
    </font>
    <font>
      <sz val="10"/>
      <name val="Arial"/>
    </font>
    <font>
      <i/>
      <sz val="8"/>
      <name val="Arial"/>
      <family val="2"/>
    </font>
    <font>
      <i/>
      <sz val="7"/>
      <name val="Arial"/>
      <family val="2"/>
    </font>
    <font>
      <sz val="8"/>
      <color rgb="FFFFFFFF"/>
      <name val="Arial"/>
      <family val="2"/>
    </font>
    <font>
      <i/>
      <sz val="8"/>
      <color rgb="FF00B0F0"/>
      <name val="Arial"/>
      <family val="2"/>
    </font>
    <font>
      <b/>
      <sz val="7"/>
      <name val="Arial"/>
      <family val="2"/>
    </font>
  </fonts>
  <fills count="13">
    <fill>
      <patternFill patternType="none"/>
    </fill>
    <fill>
      <patternFill patternType="gray125"/>
    </fill>
    <fill>
      <patternFill patternType="solid">
        <fgColor indexed="38"/>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solid">
        <fgColor rgb="FF00B6F1"/>
        <bgColor indexed="64"/>
      </patternFill>
    </fill>
    <fill>
      <patternFill patternType="solid">
        <fgColor theme="5" tint="0.59999389629810485"/>
        <bgColor indexed="64"/>
      </patternFill>
    </fill>
    <fill>
      <gradientFill degree="90">
        <stop position="0">
          <color rgb="FF682D86"/>
        </stop>
        <stop position="1">
          <color rgb="FF00B6F1"/>
        </stop>
      </gradientFill>
    </fill>
    <fill>
      <patternFill patternType="solid">
        <fgColor rgb="FF002878"/>
        <bgColor indexed="64"/>
      </patternFill>
    </fill>
    <fill>
      <patternFill patternType="solid">
        <fgColor rgb="FFC0C0C0"/>
        <bgColor indexed="64"/>
      </patternFill>
    </fill>
    <fill>
      <patternFill patternType="solid">
        <fgColor indexed="44"/>
        <bgColor indexed="64"/>
      </patternFill>
    </fill>
    <fill>
      <patternFill patternType="solid">
        <fgColor rgb="FFDDDDDD"/>
        <bgColor indexed="64"/>
      </patternFill>
    </fill>
  </fills>
  <borders count="18">
    <border>
      <left/>
      <right/>
      <top/>
      <bottom/>
      <diagonal/>
    </border>
    <border>
      <left style="thin">
        <color indexed="38"/>
      </left>
      <right style="thin">
        <color indexed="38"/>
      </right>
      <top style="thin">
        <color indexed="38"/>
      </top>
      <bottom style="thin">
        <color indexed="38"/>
      </bottom>
      <diagonal/>
    </border>
    <border>
      <left style="thin">
        <color indexed="38"/>
      </left>
      <right/>
      <top/>
      <bottom style="thin">
        <color indexed="38"/>
      </bottom>
      <diagonal/>
    </border>
    <border>
      <left style="thin">
        <color indexed="38"/>
      </left>
      <right/>
      <top style="thin">
        <color indexed="38"/>
      </top>
      <bottom style="thin">
        <color indexed="38"/>
      </bottom>
      <diagonal/>
    </border>
    <border>
      <left style="thin">
        <color indexed="39"/>
      </left>
      <right style="thin">
        <color indexed="39"/>
      </right>
      <top style="thin">
        <color indexed="39"/>
      </top>
      <bottom style="thin">
        <color indexed="39"/>
      </bottom>
      <diagonal/>
    </border>
    <border>
      <left style="thin">
        <color indexed="39"/>
      </left>
      <right style="thin">
        <color indexed="39"/>
      </right>
      <top/>
      <bottom style="thin">
        <color indexed="39"/>
      </bottom>
      <diagonal/>
    </border>
    <border>
      <left style="thin">
        <color indexed="39"/>
      </left>
      <right style="thin">
        <color indexed="39"/>
      </right>
      <top style="thin">
        <color indexed="39"/>
      </top>
      <bottom/>
      <diagonal/>
    </border>
    <border>
      <left style="thin">
        <color indexed="38"/>
      </left>
      <right/>
      <top style="thin">
        <color indexed="38"/>
      </top>
      <bottom/>
      <diagonal/>
    </border>
    <border>
      <left/>
      <right/>
      <top style="thin">
        <color indexed="38"/>
      </top>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style="thin">
        <color indexed="39"/>
      </left>
      <right style="thin">
        <color indexed="39"/>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ck">
        <color indexed="64"/>
      </top>
      <bottom/>
      <diagonal/>
    </border>
  </borders>
  <cellStyleXfs count="4">
    <xf numFmtId="0" fontId="0" fillId="0" borderId="0"/>
    <xf numFmtId="0" fontId="19" fillId="0" borderId="0" applyNumberFormat="0">
      <alignment horizontal="center" vertical="center" wrapText="1"/>
    </xf>
    <xf numFmtId="0" fontId="5" fillId="0" borderId="0" applyNumberFormat="0" applyFill="0" applyBorder="0" applyAlignment="0" applyProtection="0">
      <alignment vertical="top"/>
      <protection locked="0"/>
    </xf>
    <xf numFmtId="9" fontId="34" fillId="0" borderId="0" applyFont="0" applyFill="0" applyBorder="0" applyAlignment="0" applyProtection="0"/>
  </cellStyleXfs>
  <cellXfs count="140">
    <xf numFmtId="0" fontId="0" fillId="0" borderId="0" xfId="0"/>
    <xf numFmtId="0" fontId="2" fillId="0" borderId="0" xfId="0" applyFont="1" applyAlignment="1">
      <alignment vertical="top" wrapText="1"/>
    </xf>
    <xf numFmtId="0" fontId="0" fillId="0" borderId="0" xfId="0" applyAlignment="1">
      <alignment horizontal="left" vertical="top" indent="1"/>
    </xf>
    <xf numFmtId="0" fontId="10" fillId="0" borderId="0" xfId="0" applyFont="1" applyAlignment="1">
      <alignment vertical="top"/>
    </xf>
    <xf numFmtId="0" fontId="11" fillId="0" borderId="0" xfId="0" applyFont="1" applyAlignment="1">
      <alignment vertical="top" wrapText="1"/>
    </xf>
    <xf numFmtId="0" fontId="12" fillId="0" borderId="0" xfId="0" applyFont="1" applyAlignment="1">
      <alignment horizontal="left" vertical="top" wrapText="1"/>
    </xf>
    <xf numFmtId="0" fontId="6" fillId="0" borderId="0" xfId="0" applyFont="1" applyAlignment="1">
      <alignment vertical="top" wrapText="1"/>
    </xf>
    <xf numFmtId="0" fontId="10" fillId="0" borderId="0" xfId="0" applyFont="1" applyAlignment="1">
      <alignment vertical="top" wrapText="1"/>
    </xf>
    <xf numFmtId="0" fontId="2" fillId="0" borderId="0" xfId="0" applyFont="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 xfId="0" applyFont="1" applyFill="1" applyBorder="1" applyAlignment="1">
      <alignment vertical="center" wrapText="1"/>
    </xf>
    <xf numFmtId="0" fontId="9" fillId="2" borderId="2" xfId="0" applyFont="1" applyFill="1" applyBorder="1" applyAlignment="1">
      <alignment vertical="center" wrapText="1"/>
    </xf>
    <xf numFmtId="0" fontId="9" fillId="2" borderId="3" xfId="0" applyFont="1" applyFill="1" applyBorder="1" applyAlignment="1">
      <alignment vertical="center" wrapText="1"/>
    </xf>
    <xf numFmtId="0" fontId="7" fillId="0" borderId="4" xfId="0" applyFont="1" applyBorder="1" applyAlignment="1" applyProtection="1">
      <alignment horizontal="left" vertical="center" wrapText="1"/>
      <protection locked="0"/>
    </xf>
    <xf numFmtId="0" fontId="1" fillId="0" borderId="5" xfId="0" applyFont="1" applyBorder="1" applyAlignment="1" applyProtection="1">
      <alignment horizontal="left" vertical="center" wrapText="1"/>
      <protection locked="0"/>
    </xf>
    <xf numFmtId="0" fontId="1" fillId="0" borderId="4" xfId="0" applyFont="1" applyBorder="1" applyAlignment="1" applyProtection="1">
      <alignment horizontal="left" vertical="center" wrapText="1"/>
      <protection locked="0"/>
    </xf>
    <xf numFmtId="0" fontId="13" fillId="0" borderId="4" xfId="0" applyFont="1" applyBorder="1" applyAlignment="1" applyProtection="1">
      <alignment horizontal="left" vertical="center" wrapText="1"/>
      <protection locked="0"/>
    </xf>
    <xf numFmtId="0" fontId="1" fillId="0" borderId="6" xfId="0" applyFont="1" applyBorder="1" applyAlignment="1" applyProtection="1">
      <alignment horizontal="left" vertical="center" wrapText="1"/>
      <protection locked="0"/>
    </xf>
    <xf numFmtId="0" fontId="16" fillId="0" borderId="0" xfId="0" applyFont="1" applyAlignment="1">
      <alignment vertical="top" wrapText="1"/>
    </xf>
    <xf numFmtId="164" fontId="7" fillId="0" borderId="4" xfId="0" applyNumberFormat="1" applyFont="1" applyBorder="1" applyAlignment="1" applyProtection="1">
      <alignment horizontal="left" vertical="center" wrapText="1"/>
      <protection locked="0"/>
    </xf>
    <xf numFmtId="0" fontId="9" fillId="2" borderId="7" xfId="0" applyFont="1" applyFill="1" applyBorder="1" applyAlignment="1">
      <alignment vertical="center" wrapText="1"/>
    </xf>
    <xf numFmtId="0" fontId="9" fillId="0" borderId="4" xfId="0" applyFont="1" applyBorder="1" applyAlignment="1" applyProtection="1">
      <alignment horizontal="left" vertical="center" wrapText="1"/>
      <protection locked="0"/>
    </xf>
    <xf numFmtId="0" fontId="3" fillId="0" borderId="0" xfId="0" applyFont="1" applyAlignment="1">
      <alignment horizontal="left" vertical="top" wrapText="1"/>
    </xf>
    <xf numFmtId="0" fontId="2" fillId="0" borderId="0" xfId="0" applyFont="1"/>
    <xf numFmtId="0" fontId="17" fillId="0" borderId="0" xfId="0" applyFont="1" applyAlignment="1" applyProtection="1">
      <alignment vertical="top"/>
      <protection locked="0"/>
    </xf>
    <xf numFmtId="0" fontId="17" fillId="0" borderId="0" xfId="0" applyFont="1" applyAlignment="1" applyProtection="1">
      <alignment vertical="top" wrapText="1"/>
      <protection locked="0"/>
    </xf>
    <xf numFmtId="0" fontId="9" fillId="2" borderId="8" xfId="0" applyFont="1" applyFill="1" applyBorder="1" applyAlignment="1">
      <alignment vertical="top" wrapText="1"/>
    </xf>
    <xf numFmtId="0" fontId="9" fillId="2" borderId="0" xfId="0" applyFont="1" applyFill="1" applyAlignment="1">
      <alignment vertical="top" wrapText="1"/>
    </xf>
    <xf numFmtId="0" fontId="7" fillId="0" borderId="4" xfId="0" applyFont="1" applyBorder="1" applyAlignment="1">
      <alignment horizontal="left" vertical="center" wrapText="1"/>
    </xf>
    <xf numFmtId="4" fontId="2" fillId="0" borderId="0" xfId="0" applyNumberFormat="1" applyFont="1" applyAlignment="1">
      <alignment horizontal="right" vertical="top" wrapText="1"/>
    </xf>
    <xf numFmtId="4" fontId="16" fillId="0" borderId="0" xfId="0" applyNumberFormat="1" applyFont="1" applyAlignment="1">
      <alignment horizontal="right" vertical="top" wrapText="1"/>
    </xf>
    <xf numFmtId="0" fontId="12" fillId="3" borderId="0" xfId="0" applyFont="1" applyFill="1" applyAlignment="1">
      <alignment vertical="top" wrapText="1"/>
    </xf>
    <xf numFmtId="0" fontId="3" fillId="0" borderId="0" xfId="0" applyFont="1"/>
    <xf numFmtId="0" fontId="16" fillId="0" borderId="0" xfId="0" applyFont="1"/>
    <xf numFmtId="0" fontId="18" fillId="0" borderId="0" xfId="0" applyFont="1" applyAlignment="1">
      <alignment vertical="top" wrapText="1"/>
    </xf>
    <xf numFmtId="10" fontId="3" fillId="0" borderId="0" xfId="0" applyNumberFormat="1" applyFont="1" applyAlignment="1">
      <alignment vertical="center" wrapText="1"/>
    </xf>
    <xf numFmtId="0" fontId="3" fillId="0" borderId="0" xfId="0" applyFont="1" applyAlignment="1">
      <alignment horizontal="center" vertical="center" wrapText="1"/>
    </xf>
    <xf numFmtId="10" fontId="3" fillId="4" borderId="0" xfId="0" applyNumberFormat="1" applyFont="1" applyFill="1" applyAlignment="1">
      <alignment horizontal="left" vertical="center" wrapText="1"/>
    </xf>
    <xf numFmtId="0" fontId="2" fillId="0" borderId="0" xfId="0" applyFont="1" applyAlignment="1">
      <alignment vertical="top"/>
    </xf>
    <xf numFmtId="0" fontId="3" fillId="0" borderId="0" xfId="2" applyFont="1" applyAlignment="1" applyProtection="1"/>
    <xf numFmtId="0" fontId="26" fillId="0" borderId="0" xfId="0" applyFont="1" applyAlignment="1">
      <alignment vertical="top" wrapText="1"/>
    </xf>
    <xf numFmtId="0" fontId="2" fillId="0" borderId="0" xfId="0" applyFont="1" applyAlignment="1">
      <alignment horizontal="left"/>
    </xf>
    <xf numFmtId="0" fontId="2" fillId="0" borderId="0" xfId="0" applyFont="1" applyAlignment="1">
      <alignment wrapText="1"/>
    </xf>
    <xf numFmtId="0" fontId="14" fillId="0" borderId="0" xfId="0" applyFont="1" applyAlignment="1">
      <alignment vertical="center"/>
    </xf>
    <xf numFmtId="0" fontId="14" fillId="0" borderId="0" xfId="0" applyFont="1" applyAlignment="1">
      <alignment horizontal="right" vertical="center"/>
    </xf>
    <xf numFmtId="0" fontId="10" fillId="5" borderId="0" xfId="0" applyFont="1" applyFill="1" applyAlignment="1">
      <alignment horizontal="left" vertical="center" wrapText="1"/>
    </xf>
    <xf numFmtId="0" fontId="3" fillId="0" borderId="0" xfId="0" applyFont="1" applyAlignment="1">
      <alignment vertical="top" wrapText="1"/>
    </xf>
    <xf numFmtId="4" fontId="3" fillId="0" borderId="0" xfId="0" applyNumberFormat="1" applyFont="1" applyAlignment="1">
      <alignment horizontal="right" vertical="top" wrapText="1"/>
    </xf>
    <xf numFmtId="0" fontId="2" fillId="6" borderId="0" xfId="0" applyFont="1" applyFill="1"/>
    <xf numFmtId="0" fontId="2" fillId="6" borderId="0" xfId="0" applyFont="1" applyFill="1" applyAlignment="1">
      <alignment horizontal="center"/>
    </xf>
    <xf numFmtId="0" fontId="0" fillId="6" borderId="0" xfId="0" applyFill="1"/>
    <xf numFmtId="0" fontId="7" fillId="0" borderId="0" xfId="0" applyFont="1"/>
    <xf numFmtId="0" fontId="23" fillId="0" borderId="0" xfId="0" applyFont="1"/>
    <xf numFmtId="0" fontId="24" fillId="0" borderId="0" xfId="0" applyFont="1"/>
    <xf numFmtId="0" fontId="6" fillId="0" borderId="0" xfId="0" quotePrefix="1" applyFont="1" applyAlignment="1">
      <alignment vertical="top" wrapText="1"/>
    </xf>
    <xf numFmtId="0" fontId="15" fillId="0" borderId="0" xfId="0" applyFont="1" applyAlignment="1" applyProtection="1">
      <alignment horizontal="left" vertical="top"/>
      <protection locked="0"/>
    </xf>
    <xf numFmtId="0" fontId="0" fillId="0" borderId="0" xfId="0" applyAlignment="1">
      <alignment vertical="top"/>
    </xf>
    <xf numFmtId="0" fontId="3" fillId="0" borderId="0" xfId="0" applyFont="1" applyAlignment="1" applyProtection="1">
      <alignment vertical="top"/>
      <protection locked="0"/>
    </xf>
    <xf numFmtId="0" fontId="3" fillId="0" borderId="0" xfId="0" applyFont="1" applyAlignment="1" applyProtection="1">
      <alignment vertical="top" wrapText="1"/>
      <protection locked="0"/>
    </xf>
    <xf numFmtId="0" fontId="1" fillId="0" borderId="0" xfId="0" applyFont="1" applyAlignment="1" applyProtection="1">
      <alignment horizontal="left" vertical="center" wrapText="1"/>
      <protection locked="0"/>
    </xf>
    <xf numFmtId="0" fontId="9" fillId="0" borderId="0" xfId="0" applyFont="1" applyAlignment="1">
      <alignment vertical="center" wrapText="1"/>
    </xf>
    <xf numFmtId="0" fontId="2" fillId="0" borderId="0" xfId="0" applyFont="1" applyAlignment="1">
      <alignment horizontal="right"/>
    </xf>
    <xf numFmtId="0" fontId="0" fillId="0" borderId="0" xfId="0" applyAlignment="1">
      <alignment wrapText="1"/>
    </xf>
    <xf numFmtId="0" fontId="25" fillId="0" borderId="0" xfId="2" applyFont="1" applyAlignment="1" applyProtection="1">
      <alignment horizontal="left" vertical="top"/>
    </xf>
    <xf numFmtId="0" fontId="10" fillId="7" borderId="0" xfId="0" applyFont="1" applyFill="1" applyAlignment="1">
      <alignment horizontal="left" vertical="center" wrapText="1"/>
    </xf>
    <xf numFmtId="0" fontId="0" fillId="0" borderId="0" xfId="0" applyAlignment="1">
      <alignment horizontal="center" wrapText="1"/>
    </xf>
    <xf numFmtId="0" fontId="30" fillId="0" borderId="0" xfId="0" applyFont="1" applyAlignment="1" applyProtection="1">
      <alignment horizontal="left" vertical="top"/>
      <protection locked="0"/>
    </xf>
    <xf numFmtId="0" fontId="13" fillId="0" borderId="0" xfId="0" applyFont="1" applyAlignment="1" applyProtection="1">
      <alignment horizontal="left" vertical="center" wrapText="1"/>
      <protection locked="0"/>
    </xf>
    <xf numFmtId="0" fontId="32" fillId="0" borderId="0" xfId="2" applyNumberFormat="1" applyFont="1" applyAlignment="1" applyProtection="1">
      <alignment horizontal="center" vertical="center" wrapText="1"/>
    </xf>
    <xf numFmtId="0" fontId="33" fillId="0" borderId="0" xfId="0" applyFont="1" applyAlignment="1">
      <alignment horizontal="center" vertical="center" wrapText="1"/>
    </xf>
    <xf numFmtId="0" fontId="8" fillId="9" borderId="9" xfId="0" applyFont="1" applyFill="1" applyBorder="1" applyAlignment="1">
      <alignment horizontal="left" vertical="center" wrapText="1"/>
    </xf>
    <xf numFmtId="0" fontId="8" fillId="9" borderId="10" xfId="0" applyFont="1" applyFill="1" applyBorder="1" applyAlignment="1">
      <alignment horizontal="left" vertical="center" wrapText="1"/>
    </xf>
    <xf numFmtId="0" fontId="27" fillId="0" borderId="0" xfId="0" applyFont="1" applyAlignment="1">
      <alignment horizontal="center" vertical="center" wrapText="1"/>
    </xf>
    <xf numFmtId="0" fontId="29" fillId="3" borderId="0" xfId="0" quotePrefix="1" applyFont="1" applyFill="1" applyAlignment="1">
      <alignment horizontal="left" vertical="top" wrapText="1"/>
    </xf>
    <xf numFmtId="0" fontId="6" fillId="3" borderId="0" xfId="0" quotePrefix="1" applyFont="1" applyFill="1" applyAlignment="1">
      <alignment horizontal="left" vertical="top" wrapText="1"/>
    </xf>
    <xf numFmtId="0" fontId="30" fillId="0" borderId="0" xfId="0" applyFont="1" applyAlignment="1" applyProtection="1">
      <alignment horizontal="left" vertical="top"/>
      <protection locked="0"/>
    </xf>
    <xf numFmtId="0" fontId="28" fillId="8" borderId="0" xfId="0" applyFont="1" applyFill="1" applyAlignment="1">
      <alignment horizontal="right" vertical="center" wrapText="1" indent="2"/>
    </xf>
    <xf numFmtId="0" fontId="26" fillId="0" borderId="0" xfId="0" applyFont="1" applyAlignment="1" applyProtection="1">
      <alignment horizontal="left" vertical="top"/>
      <protection locked="0"/>
    </xf>
    <xf numFmtId="0" fontId="8" fillId="9" borderId="9" xfId="0" applyFont="1" applyFill="1" applyBorder="1" applyAlignment="1">
      <alignment vertical="center" wrapText="1"/>
    </xf>
    <xf numFmtId="0" fontId="9" fillId="9" borderId="10" xfId="0" applyFont="1" applyFill="1" applyBorder="1" applyAlignment="1">
      <alignment vertical="center" wrapText="1"/>
    </xf>
    <xf numFmtId="0" fontId="8" fillId="9" borderId="9" xfId="0" applyFont="1" applyFill="1" applyBorder="1" applyAlignment="1">
      <alignment horizontal="left" vertical="center" wrapText="1"/>
    </xf>
    <xf numFmtId="0" fontId="8" fillId="9" borderId="10" xfId="0" applyFont="1" applyFill="1" applyBorder="1" applyAlignment="1">
      <alignment horizontal="left" vertical="center" wrapText="1"/>
    </xf>
    <xf numFmtId="0" fontId="26" fillId="0" borderId="0" xfId="0" applyFont="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0" fontId="7" fillId="0" borderId="11"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31" fillId="0" borderId="0" xfId="2" applyFont="1" applyAlignment="1" applyProtection="1">
      <alignment horizontal="center"/>
    </xf>
    <xf numFmtId="10" fontId="34" fillId="0" borderId="0" xfId="3" applyNumberFormat="1"/>
    <xf numFmtId="0" fontId="36" fillId="0" borderId="0" xfId="0" applyFont="1" applyAlignment="1">
      <alignment vertical="top" wrapText="1"/>
    </xf>
    <xf numFmtId="0" fontId="36"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37" fillId="0" borderId="0" xfId="0" applyFont="1" applyAlignment="1">
      <alignment vertical="top" wrapText="1"/>
    </xf>
    <xf numFmtId="0" fontId="3" fillId="10" borderId="0" xfId="0" applyFont="1" applyFill="1" applyAlignment="1">
      <alignment vertical="top" wrapText="1"/>
    </xf>
    <xf numFmtId="0" fontId="2" fillId="0" borderId="0" xfId="0" applyNumberFormat="1" applyFont="1" applyAlignment="1">
      <alignment horizontal="center" vertical="top" wrapText="1"/>
    </xf>
    <xf numFmtId="0" fontId="16" fillId="0" borderId="0" xfId="0" applyNumberFormat="1" applyFont="1" applyAlignment="1">
      <alignment horizontal="center" vertical="top" wrapText="1"/>
    </xf>
    <xf numFmtId="0" fontId="3" fillId="11" borderId="0" xfId="0" applyFont="1" applyFill="1" applyAlignment="1">
      <alignment vertical="top" wrapText="1"/>
    </xf>
    <xf numFmtId="4" fontId="3" fillId="11" borderId="0" xfId="0" applyNumberFormat="1" applyFont="1" applyFill="1" applyAlignment="1">
      <alignment horizontal="right" vertical="top" wrapText="1"/>
    </xf>
    <xf numFmtId="0" fontId="3" fillId="11" borderId="0" xfId="0" applyNumberFormat="1" applyFont="1" applyFill="1" applyAlignment="1">
      <alignment horizontal="center" vertical="top" wrapText="1"/>
    </xf>
    <xf numFmtId="10" fontId="2" fillId="0" borderId="0" xfId="0" applyNumberFormat="1" applyFont="1" applyAlignment="1">
      <alignment horizontal="right" vertical="top" wrapText="1"/>
    </xf>
    <xf numFmtId="10" fontId="3" fillId="11" borderId="0" xfId="0" applyNumberFormat="1" applyFont="1" applyFill="1" applyAlignment="1">
      <alignment horizontal="right" vertical="top" wrapText="1"/>
    </xf>
    <xf numFmtId="10" fontId="16" fillId="0" borderId="0" xfId="0" applyNumberFormat="1" applyFont="1" applyAlignment="1">
      <alignment horizontal="right" vertical="top" wrapText="1"/>
    </xf>
    <xf numFmtId="4" fontId="3" fillId="12" borderId="0" xfId="0" applyNumberFormat="1" applyFont="1" applyFill="1" applyAlignment="1">
      <alignment horizontal="right" vertical="top" wrapText="1"/>
    </xf>
    <xf numFmtId="0" fontId="2" fillId="0" borderId="0" xfId="0" applyFont="1" applyBorder="1" applyAlignment="1">
      <alignment vertical="top" wrapText="1"/>
    </xf>
    <xf numFmtId="0" fontId="37" fillId="0" borderId="0" xfId="0" applyFont="1" applyBorder="1" applyAlignment="1">
      <alignment vertical="top" wrapText="1"/>
    </xf>
    <xf numFmtId="0" fontId="35" fillId="0" borderId="0" xfId="0" applyFont="1" applyBorder="1" applyAlignment="1">
      <alignment vertical="top" wrapText="1"/>
    </xf>
    <xf numFmtId="4" fontId="2" fillId="0" borderId="0" xfId="0" applyNumberFormat="1" applyFont="1" applyBorder="1" applyAlignment="1">
      <alignment horizontal="right" vertical="top" wrapText="1"/>
    </xf>
    <xf numFmtId="10" fontId="2" fillId="0" borderId="0" xfId="0" applyNumberFormat="1" applyFont="1" applyBorder="1" applyAlignment="1">
      <alignment horizontal="right" vertical="top" wrapText="1"/>
    </xf>
    <xf numFmtId="0" fontId="2" fillId="0" borderId="0" xfId="0" applyNumberFormat="1" applyFont="1" applyBorder="1" applyAlignment="1">
      <alignment horizontal="center" vertical="top" wrapText="1"/>
    </xf>
    <xf numFmtId="0" fontId="38" fillId="0" borderId="0" xfId="0" applyFont="1" applyBorder="1" applyAlignment="1">
      <alignment vertical="top" wrapText="1"/>
    </xf>
    <xf numFmtId="0" fontId="36" fillId="0" borderId="0" xfId="0" applyFont="1" applyBorder="1" applyAlignment="1">
      <alignment vertical="top" wrapText="1"/>
    </xf>
    <xf numFmtId="0" fontId="2" fillId="0" borderId="0" xfId="0" applyFont="1" applyBorder="1" applyAlignment="1">
      <alignment vertical="top"/>
    </xf>
    <xf numFmtId="0" fontId="2" fillId="0" borderId="12" xfId="0" applyFont="1" applyBorder="1" applyAlignment="1">
      <alignment vertical="top" wrapText="1"/>
    </xf>
    <xf numFmtId="0" fontId="2" fillId="0" borderId="13" xfId="0" applyFont="1" applyBorder="1" applyAlignment="1">
      <alignment vertical="top" wrapText="1"/>
    </xf>
    <xf numFmtId="0" fontId="37" fillId="0" borderId="14" xfId="0" applyFont="1" applyBorder="1" applyAlignment="1">
      <alignment vertical="top" wrapText="1"/>
    </xf>
    <xf numFmtId="0" fontId="35" fillId="0" borderId="14" xfId="0" applyFont="1" applyBorder="1" applyAlignment="1">
      <alignment vertical="top" wrapText="1"/>
    </xf>
    <xf numFmtId="4" fontId="2" fillId="0" borderId="14" xfId="0" applyNumberFormat="1" applyFont="1" applyBorder="1" applyAlignment="1">
      <alignment horizontal="right" vertical="top" wrapText="1"/>
    </xf>
    <xf numFmtId="10" fontId="2" fillId="0" borderId="14" xfId="0" applyNumberFormat="1" applyFont="1" applyBorder="1" applyAlignment="1">
      <alignment horizontal="right" vertical="top" wrapText="1"/>
    </xf>
    <xf numFmtId="0" fontId="2" fillId="0" borderId="14" xfId="0" applyNumberFormat="1" applyFont="1" applyBorder="1" applyAlignment="1">
      <alignment horizontal="center" vertical="top" wrapText="1"/>
    </xf>
    <xf numFmtId="4" fontId="2" fillId="0" borderId="15" xfId="0" applyNumberFormat="1" applyFont="1" applyBorder="1" applyAlignment="1">
      <alignment horizontal="right" vertical="top" wrapText="1"/>
    </xf>
    <xf numFmtId="4" fontId="2" fillId="0" borderId="16" xfId="0" applyNumberFormat="1" applyFont="1" applyBorder="1" applyAlignment="1">
      <alignment horizontal="right" vertical="top" wrapText="1"/>
    </xf>
    <xf numFmtId="0" fontId="2" fillId="0" borderId="14" xfId="0" applyFont="1" applyBorder="1" applyAlignment="1">
      <alignment vertical="top" wrapText="1"/>
    </xf>
    <xf numFmtId="0" fontId="39" fillId="12" borderId="14" xfId="0" applyFont="1" applyFill="1" applyBorder="1" applyAlignment="1">
      <alignment vertical="top" wrapText="1"/>
    </xf>
    <xf numFmtId="4" fontId="3" fillId="12" borderId="14" xfId="0" applyNumberFormat="1" applyFont="1" applyFill="1" applyBorder="1" applyAlignment="1">
      <alignment horizontal="right" vertical="top" wrapText="1"/>
    </xf>
    <xf numFmtId="10" fontId="3" fillId="12" borderId="14" xfId="0" applyNumberFormat="1" applyFont="1" applyFill="1" applyBorder="1" applyAlignment="1">
      <alignment horizontal="right" vertical="top" wrapText="1"/>
    </xf>
    <xf numFmtId="0" fontId="3" fillId="12" borderId="14" xfId="0" applyNumberFormat="1" applyFont="1" applyFill="1" applyBorder="1" applyAlignment="1">
      <alignment horizontal="center" vertical="top" wrapText="1"/>
    </xf>
    <xf numFmtId="0" fontId="2" fillId="0" borderId="0" xfId="0" applyFont="1" applyFill="1" applyAlignment="1">
      <alignment vertical="top" wrapText="1"/>
    </xf>
    <xf numFmtId="0" fontId="36" fillId="0" borderId="0" xfId="0" applyFont="1" applyFill="1" applyAlignment="1">
      <alignment vertical="top" wrapText="1"/>
    </xf>
    <xf numFmtId="4" fontId="2" fillId="0" borderId="0" xfId="0" applyNumberFormat="1" applyFont="1" applyFill="1" applyAlignment="1">
      <alignment horizontal="right" vertical="top" wrapText="1"/>
    </xf>
    <xf numFmtId="10" fontId="2" fillId="0" borderId="0" xfId="0" applyNumberFormat="1" applyFont="1" applyFill="1" applyAlignment="1">
      <alignment horizontal="right" vertical="top" wrapText="1"/>
    </xf>
    <xf numFmtId="0" fontId="2" fillId="0" borderId="0" xfId="0" applyNumberFormat="1" applyFont="1" applyFill="1" applyAlignment="1">
      <alignment horizontal="center" vertical="top" wrapText="1"/>
    </xf>
    <xf numFmtId="0" fontId="37" fillId="0" borderId="0" xfId="0" applyFont="1" applyFill="1" applyAlignment="1">
      <alignment vertical="top" wrapText="1"/>
    </xf>
    <xf numFmtId="0" fontId="3" fillId="4" borderId="17" xfId="0" applyFont="1" applyFill="1" applyBorder="1" applyAlignment="1">
      <alignment vertical="top"/>
    </xf>
    <xf numFmtId="0" fontId="36" fillId="4" borderId="17" xfId="0" applyFont="1" applyFill="1" applyBorder="1" applyAlignment="1">
      <alignment vertical="top" wrapText="1"/>
    </xf>
    <xf numFmtId="4" fontId="2" fillId="4" borderId="17" xfId="0" applyNumberFormat="1" applyFont="1" applyFill="1" applyBorder="1" applyAlignment="1">
      <alignment horizontal="right" vertical="top" wrapText="1"/>
    </xf>
    <xf numFmtId="10" fontId="2" fillId="4" borderId="17" xfId="0" applyNumberFormat="1" applyFont="1" applyFill="1" applyBorder="1" applyAlignment="1">
      <alignment horizontal="right" vertical="top" wrapText="1"/>
    </xf>
    <xf numFmtId="0" fontId="2" fillId="4" borderId="17" xfId="0" applyNumberFormat="1" applyFont="1" applyFill="1" applyBorder="1" applyAlignment="1">
      <alignment horizontal="center" vertical="top" wrapText="1"/>
    </xf>
    <xf numFmtId="4" fontId="3" fillId="4" borderId="17" xfId="0" applyNumberFormat="1" applyFont="1" applyFill="1" applyBorder="1" applyAlignment="1">
      <alignment horizontal="right" vertical="top" wrapText="1"/>
    </xf>
    <xf numFmtId="10" fontId="20" fillId="0" borderId="0" xfId="0" applyNumberFormat="1" applyFont="1" applyAlignment="1">
      <alignment horizontal="right" vertical="top" wrapText="1"/>
    </xf>
  </cellXfs>
  <cellStyles count="4">
    <cellStyle name="Hide" xfId="1" xr:uid="{00000000-0005-0000-0000-000000000000}"/>
    <cellStyle name="Hyperlink" xfId="2" builtinId="8"/>
    <cellStyle name="Normal" xfId="0" builtinId="0"/>
    <cellStyle name="Percent" xfId="3"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FFBD0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3366CC"/>
      <rgbColor rgb="000066CC"/>
      <rgbColor rgb="00FFBD00"/>
      <rgbColor rgb="00DFDFDF"/>
      <rgbColor rgb="00425DA1"/>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0000"/>
      <rgbColor rgb="00339966"/>
      <rgbColor rgb="00004B7F"/>
      <rgbColor rgb="00333300"/>
      <rgbColor rgb="00993300"/>
      <rgbColor rgb="00993366"/>
      <rgbColor rgb="00A3C6F4"/>
      <rgbColor rgb="00425DA1"/>
    </indexedColors>
    <mruColors>
      <color rgb="FF00B6F1"/>
      <color rgb="FF002878"/>
      <color rgb="FF682D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3947160</xdr:colOff>
          <xdr:row>0</xdr:row>
          <xdr:rowOff>83820</xdr:rowOff>
        </xdr:from>
        <xdr:to>
          <xdr:col>1</xdr:col>
          <xdr:colOff>5036820</xdr:colOff>
          <xdr:row>3</xdr:row>
          <xdr:rowOff>30480</xdr:rowOff>
        </xdr:to>
        <xdr:sp macro="" textlink="">
          <xdr:nvSpPr>
            <xdr:cNvPr id="6145" name="CommandButton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234950</xdr:colOff>
      <xdr:row>1</xdr:row>
      <xdr:rowOff>182245</xdr:rowOff>
    </xdr:from>
    <xdr:to>
      <xdr:col>1</xdr:col>
      <xdr:colOff>1216025</xdr:colOff>
      <xdr:row>1</xdr:row>
      <xdr:rowOff>439420</xdr:rowOff>
    </xdr:to>
    <xdr:pic>
      <xdr:nvPicPr>
        <xdr:cNvPr id="44660" name="Picture 1" descr="QNTMLogoWhite_lowres">
          <a:extLst>
            <a:ext uri="{FF2B5EF4-FFF2-40B4-BE49-F238E27FC236}">
              <a16:creationId xmlns:a16="http://schemas.microsoft.com/office/drawing/2014/main" id="{00000000-0008-0000-0200-000074A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234950" y="347345"/>
          <a:ext cx="16922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244475</xdr:rowOff>
    </xdr:from>
    <xdr:to>
      <xdr:col>7</xdr:col>
      <xdr:colOff>1524</xdr:colOff>
      <xdr:row>41</xdr:row>
      <xdr:rowOff>881084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lum bright="100000"/>
          <a:extLst>
            <a:ext uri="{28A0092B-C50C-407E-A947-70E740481C1C}">
              <a14:useLocalDpi xmlns:a14="http://schemas.microsoft.com/office/drawing/2010/main" val="0"/>
            </a:ext>
          </a:extLst>
        </a:blip>
        <a:stretch>
          <a:fillRect/>
        </a:stretch>
      </xdr:blipFill>
      <xdr:spPr>
        <a:xfrm>
          <a:off x="0" y="10671175"/>
          <a:ext cx="12993624" cy="890609"/>
        </a:xfrm>
        <a:prstGeom prst="rect">
          <a:avLst/>
        </a:prstGeom>
      </xdr:spPr>
    </xdr:pic>
    <xdr:clientData/>
  </xdr:twoCellAnchor>
  <xdr:twoCellAnchor editAs="oneCell">
    <xdr:from>
      <xdr:col>0</xdr:col>
      <xdr:colOff>0</xdr:colOff>
      <xdr:row>42</xdr:row>
      <xdr:rowOff>228599</xdr:rowOff>
    </xdr:from>
    <xdr:to>
      <xdr:col>7</xdr:col>
      <xdr:colOff>1524</xdr:colOff>
      <xdr:row>42</xdr:row>
      <xdr:rowOff>863600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804" b="21408"/>
        <a:stretch/>
      </xdr:blipFill>
      <xdr:spPr>
        <a:xfrm>
          <a:off x="0" y="11887199"/>
          <a:ext cx="12993624" cy="63500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0</xdr:colOff>
          <xdr:row>30</xdr:row>
          <xdr:rowOff>0</xdr:rowOff>
        </xdr:from>
        <xdr:to>
          <xdr:col>4</xdr:col>
          <xdr:colOff>914400</xdr:colOff>
          <xdr:row>32</xdr:row>
          <xdr:rowOff>30480</xdr:rowOff>
        </xdr:to>
        <xdr:sp macro="" textlink="">
          <xdr:nvSpPr>
            <xdr:cNvPr id="44557" name="Object 1549" hidden="1">
              <a:extLst>
                <a:ext uri="{63B3BB69-23CF-44E3-9099-C40C66FF867C}">
                  <a14:compatExt spid="_x0000_s44557"/>
                </a:ext>
                <a:ext uri="{FF2B5EF4-FFF2-40B4-BE49-F238E27FC236}">
                  <a16:creationId xmlns:a16="http://schemas.microsoft.com/office/drawing/2014/main" id="{00000000-0008-0000-0200-00000DAE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1.bin"/><Relationship Id="rId3" Type="http://schemas.openxmlformats.org/officeDocument/2006/relationships/hyperlink" Target="https://dataframeworks.com/cn-eula.pdf" TargetMode="External"/><Relationship Id="rId7" Type="http://schemas.openxmlformats.org/officeDocument/2006/relationships/vmlDrawing" Target="../drawings/vmlDrawing3.vml"/><Relationship Id="rId2" Type="http://schemas.openxmlformats.org/officeDocument/2006/relationships/hyperlink" Target="https://get.adobe.com/reader/otherversions/" TargetMode="External"/><Relationship Id="rId1" Type="http://schemas.openxmlformats.org/officeDocument/2006/relationships/hyperlink" Target="https://www.quantum.com/en/products/services/descriptions/"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3.bin"/><Relationship Id="rId9" Type="http://schemas.openxmlformats.org/officeDocument/2006/relationships/image" Target="../media/image2.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6.bin"/><Relationship Id="rId1" Type="http://schemas.openxmlformats.org/officeDocument/2006/relationships/hyperlink" Target="mailto:ApacSales.Admin@quantum.com"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2"/>
  <sheetViews>
    <sheetView zoomScale="90" workbookViewId="0">
      <selection activeCell="A3" sqref="A3"/>
    </sheetView>
  </sheetViews>
  <sheetFormatPr defaultColWidth="9.109375" defaultRowHeight="11.4" x14ac:dyDescent="0.25"/>
  <cols>
    <col min="1" max="1" width="5.109375" style="4" customWidth="1"/>
    <col min="2" max="2" width="79" style="4" customWidth="1"/>
    <col min="3" max="3" width="2.5546875" style="4" customWidth="1"/>
    <col min="4" max="4" width="67.44140625" style="4" customWidth="1"/>
    <col min="5" max="16384" width="9.109375" style="4"/>
  </cols>
  <sheetData>
    <row r="1" spans="1:4" ht="12" x14ac:dyDescent="0.25">
      <c r="A1" s="3" t="s">
        <v>25</v>
      </c>
      <c r="D1" s="35" t="s">
        <v>27</v>
      </c>
    </row>
    <row r="2" spans="1:4" ht="12" x14ac:dyDescent="0.25">
      <c r="A2" s="3" t="s">
        <v>123</v>
      </c>
    </row>
    <row r="4" spans="1:4" x14ac:dyDescent="0.25">
      <c r="B4" s="5" t="s">
        <v>26</v>
      </c>
      <c r="D4" s="32" t="s">
        <v>9</v>
      </c>
    </row>
    <row r="5" spans="1:4" ht="61.5" customHeight="1" x14ac:dyDescent="0.25">
      <c r="A5" s="4">
        <v>1</v>
      </c>
      <c r="B5" s="6" t="s">
        <v>110</v>
      </c>
      <c r="D5" s="74" t="s">
        <v>122</v>
      </c>
    </row>
    <row r="6" spans="1:4" ht="22.8" x14ac:dyDescent="0.25">
      <c r="A6" s="4">
        <f>A5+1</f>
        <v>2</v>
      </c>
      <c r="B6" s="6" t="s">
        <v>56</v>
      </c>
      <c r="D6" s="75"/>
    </row>
    <row r="7" spans="1:4" x14ac:dyDescent="0.25">
      <c r="A7" s="4">
        <f>A6+1</f>
        <v>3</v>
      </c>
      <c r="B7" s="6" t="s">
        <v>57</v>
      </c>
      <c r="D7" s="75"/>
    </row>
    <row r="8" spans="1:4" x14ac:dyDescent="0.25">
      <c r="A8" s="4">
        <f>A7+1</f>
        <v>4</v>
      </c>
      <c r="B8" s="6" t="s">
        <v>58</v>
      </c>
      <c r="D8" s="75"/>
    </row>
    <row r="9" spans="1:4" ht="23.4" x14ac:dyDescent="0.25">
      <c r="A9" s="4">
        <f t="shared" ref="A9:A16" si="0">A8+1</f>
        <v>5</v>
      </c>
      <c r="B9" s="6" t="s">
        <v>60</v>
      </c>
      <c r="D9" s="55"/>
    </row>
    <row r="10" spans="1:4" ht="12" x14ac:dyDescent="0.25">
      <c r="A10" s="4">
        <f t="shared" si="0"/>
        <v>6</v>
      </c>
      <c r="B10" s="6" t="s">
        <v>59</v>
      </c>
      <c r="D10" s="55"/>
    </row>
    <row r="11" spans="1:4" ht="22.8" x14ac:dyDescent="0.25">
      <c r="A11" s="4">
        <f t="shared" si="0"/>
        <v>7</v>
      </c>
      <c r="B11" s="6" t="s">
        <v>61</v>
      </c>
      <c r="D11" s="55"/>
    </row>
    <row r="12" spans="1:4" ht="23.4" x14ac:dyDescent="0.25">
      <c r="A12" s="4">
        <f t="shared" si="0"/>
        <v>8</v>
      </c>
      <c r="B12" s="4" t="s">
        <v>16</v>
      </c>
      <c r="D12" s="55"/>
    </row>
    <row r="13" spans="1:4" ht="12" x14ac:dyDescent="0.25">
      <c r="A13" s="4">
        <f t="shared" si="0"/>
        <v>9</v>
      </c>
      <c r="B13" s="4" t="s">
        <v>29</v>
      </c>
      <c r="D13" s="55"/>
    </row>
    <row r="14" spans="1:4" x14ac:dyDescent="0.25">
      <c r="A14" s="4">
        <f t="shared" si="0"/>
        <v>10</v>
      </c>
      <c r="B14" s="6" t="s">
        <v>1</v>
      </c>
      <c r="D14" s="55"/>
    </row>
    <row r="15" spans="1:4" ht="39.75" customHeight="1" x14ac:dyDescent="0.25">
      <c r="A15" s="4">
        <f t="shared" si="0"/>
        <v>11</v>
      </c>
      <c r="B15" s="6" t="s">
        <v>93</v>
      </c>
      <c r="D15" s="65" t="s">
        <v>107</v>
      </c>
    </row>
    <row r="16" spans="1:4" ht="12" x14ac:dyDescent="0.25">
      <c r="A16" s="4">
        <f t="shared" si="0"/>
        <v>12</v>
      </c>
      <c r="B16" s="6" t="s">
        <v>92</v>
      </c>
      <c r="D16" s="55"/>
    </row>
    <row r="17" spans="1:4" ht="79.8" x14ac:dyDescent="0.25">
      <c r="A17" s="4">
        <f>A16+1</f>
        <v>13</v>
      </c>
      <c r="B17" s="6" t="s">
        <v>111</v>
      </c>
      <c r="D17" s="55"/>
    </row>
    <row r="18" spans="1:4" x14ac:dyDescent="0.25">
      <c r="A18" s="4">
        <f>A17+1</f>
        <v>14</v>
      </c>
      <c r="B18" s="6" t="s">
        <v>91</v>
      </c>
      <c r="D18" s="55"/>
    </row>
    <row r="19" spans="1:4" ht="24" x14ac:dyDescent="0.25">
      <c r="A19" s="4">
        <f>A18+1</f>
        <v>15</v>
      </c>
      <c r="B19" s="7" t="s">
        <v>50</v>
      </c>
      <c r="D19" s="55"/>
    </row>
    <row r="20" spans="1:4" ht="60" x14ac:dyDescent="0.25">
      <c r="A20" s="4">
        <f>A19+1</f>
        <v>16</v>
      </c>
      <c r="B20" s="7" t="s">
        <v>112</v>
      </c>
      <c r="D20" s="46" t="s">
        <v>55</v>
      </c>
    </row>
    <row r="21" spans="1:4" ht="24" x14ac:dyDescent="0.25">
      <c r="A21" s="4">
        <f>A20+1</f>
        <v>17</v>
      </c>
      <c r="B21" s="7" t="s">
        <v>28</v>
      </c>
    </row>
    <row r="22" spans="1:4" ht="96" x14ac:dyDescent="0.25">
      <c r="A22" s="4">
        <v>18</v>
      </c>
      <c r="B22" s="7" t="s">
        <v>113</v>
      </c>
    </row>
  </sheetData>
  <sheetProtection sheet="1" objects="1" scenarios="1"/>
  <mergeCells count="1">
    <mergeCell ref="D5:D8"/>
  </mergeCells>
  <phoneticPr fontId="2"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6145" r:id="rId4" name="CommandButton1">
          <controlPr defaultSize="0" print="0" autoLine="0" autoPict="0" r:id="rId5">
            <anchor moveWithCells="1">
              <from>
                <xdr:col>1</xdr:col>
                <xdr:colOff>3947160</xdr:colOff>
                <xdr:row>0</xdr:row>
                <xdr:rowOff>83820</xdr:rowOff>
              </from>
              <to>
                <xdr:col>1</xdr:col>
                <xdr:colOff>5036820</xdr:colOff>
                <xdr:row>3</xdr:row>
                <xdr:rowOff>30480</xdr:rowOff>
              </to>
            </anchor>
          </controlPr>
        </control>
      </mc:Choice>
      <mc:Fallback>
        <control shapeId="6145" r:id="rId4" name="CommandButton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tabColor theme="9" tint="0.39997558519241921"/>
  </sheetPr>
  <dimension ref="A1:C15"/>
  <sheetViews>
    <sheetView workbookViewId="0">
      <selection activeCell="B1" sqref="B1"/>
    </sheetView>
  </sheetViews>
  <sheetFormatPr defaultRowHeight="13.2" x14ac:dyDescent="0.25"/>
  <cols>
    <col min="1" max="1" width="31" bestFit="1" customWidth="1"/>
    <col min="2" max="2" width="18.44140625" customWidth="1"/>
    <col min="3" max="3" width="73.88671875" bestFit="1" customWidth="1"/>
  </cols>
  <sheetData>
    <row r="1" spans="1:3" ht="17.399999999999999" x14ac:dyDescent="0.3">
      <c r="A1" s="53" t="s">
        <v>73</v>
      </c>
    </row>
    <row r="3" spans="1:3" x14ac:dyDescent="0.25">
      <c r="A3" s="54" t="s">
        <v>74</v>
      </c>
    </row>
    <row r="5" spans="1:3" x14ac:dyDescent="0.25">
      <c r="A5" s="52" t="s">
        <v>75</v>
      </c>
      <c r="B5" t="s">
        <v>80</v>
      </c>
    </row>
    <row r="6" spans="1:3" x14ac:dyDescent="0.25">
      <c r="A6" s="52" t="s">
        <v>99</v>
      </c>
      <c r="B6" t="s">
        <v>89</v>
      </c>
    </row>
    <row r="7" spans="1:3" x14ac:dyDescent="0.25">
      <c r="A7" s="52" t="s">
        <v>114</v>
      </c>
      <c r="B7" t="s">
        <v>89</v>
      </c>
    </row>
    <row r="8" spans="1:3" x14ac:dyDescent="0.25">
      <c r="A8" s="52" t="s">
        <v>120</v>
      </c>
      <c r="B8" t="s">
        <v>89</v>
      </c>
    </row>
    <row r="9" spans="1:3" x14ac:dyDescent="0.25">
      <c r="A9" s="52" t="s">
        <v>100</v>
      </c>
      <c r="B9" t="s">
        <v>86</v>
      </c>
    </row>
    <row r="10" spans="1:3" x14ac:dyDescent="0.25">
      <c r="A10" s="52" t="s">
        <v>101</v>
      </c>
      <c r="B10" t="s">
        <v>89</v>
      </c>
    </row>
    <row r="11" spans="1:3" x14ac:dyDescent="0.25">
      <c r="A11" s="52" t="s">
        <v>76</v>
      </c>
      <c r="B11" t="s">
        <v>86</v>
      </c>
    </row>
    <row r="12" spans="1:3" x14ac:dyDescent="0.25">
      <c r="A12" s="52" t="s">
        <v>87</v>
      </c>
      <c r="B12" t="s">
        <v>35</v>
      </c>
    </row>
    <row r="13" spans="1:3" x14ac:dyDescent="0.25">
      <c r="A13" s="52" t="s">
        <v>77</v>
      </c>
      <c r="B13" t="s">
        <v>64</v>
      </c>
    </row>
    <row r="14" spans="1:3" x14ac:dyDescent="0.25">
      <c r="A14" s="52" t="s">
        <v>78</v>
      </c>
      <c r="B14" t="s">
        <v>82</v>
      </c>
      <c r="C14" s="54" t="s">
        <v>94</v>
      </c>
    </row>
    <row r="15" spans="1:3" x14ac:dyDescent="0.25">
      <c r="A15" s="52" t="s">
        <v>98</v>
      </c>
      <c r="B15" t="s">
        <v>86</v>
      </c>
    </row>
  </sheetData>
  <dataValidations count="4">
    <dataValidation type="list" allowBlank="1" showInputMessage="1" showErrorMessage="1" sqref="B5" xr:uid="{00000000-0002-0000-0100-000000000000}">
      <formula1>QuoteFormatChoices</formula1>
    </dataValidation>
    <dataValidation type="list" allowBlank="1" showInputMessage="1" showErrorMessage="1" sqref="B15 B6:B11" xr:uid="{00000000-0002-0000-0100-000001000000}">
      <formula1>"Hide,Show"</formula1>
    </dataValidation>
    <dataValidation type="list" allowBlank="1" showInputMessage="1" showErrorMessage="1" sqref="B12:B13" xr:uid="{00000000-0002-0000-0100-000002000000}">
      <formula1>PriceColumnChoices</formula1>
    </dataValidation>
    <dataValidation type="list" allowBlank="1" showInputMessage="1" showErrorMessage="1" sqref="B14" xr:uid="{00000000-0002-0000-0100-000003000000}">
      <formula1>MediaWithinConfigurationChoices</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2:G43"/>
  <sheetViews>
    <sheetView showGridLines="0" tabSelected="1" zoomScale="75" zoomScaleNormal="85" zoomScaleSheetLayoutView="85" workbookViewId="0">
      <selection activeCell="C10" sqref="C10"/>
    </sheetView>
  </sheetViews>
  <sheetFormatPr defaultRowHeight="13.2" x14ac:dyDescent="0.25"/>
  <cols>
    <col min="1" max="1" width="10.6640625" customWidth="1"/>
    <col min="2" max="2" width="18.6640625" customWidth="1"/>
    <col min="3" max="3" width="64.6640625" customWidth="1"/>
    <col min="4" max="4" width="10.6640625" customWidth="1"/>
    <col min="5" max="5" width="18.6640625" customWidth="1"/>
    <col min="6" max="6" width="60.6640625" customWidth="1"/>
    <col min="7" max="7" width="10.6640625" customWidth="1"/>
  </cols>
  <sheetData>
    <row r="2" spans="1:7" s="41" customFormat="1" ht="48.75" customHeight="1" x14ac:dyDescent="0.25">
      <c r="A2" s="77" t="s">
        <v>10</v>
      </c>
      <c r="B2" s="77"/>
      <c r="C2" s="77"/>
      <c r="D2" s="77"/>
      <c r="E2" s="77"/>
      <c r="F2" s="77"/>
      <c r="G2" s="77"/>
    </row>
    <row r="3" spans="1:7" x14ac:dyDescent="0.25">
      <c r="A3" s="51"/>
      <c r="B3" s="51"/>
      <c r="C3" s="51"/>
      <c r="D3" s="51"/>
      <c r="E3" s="51"/>
      <c r="F3" s="51"/>
      <c r="G3" s="51"/>
    </row>
    <row r="4" spans="1:7" ht="93" hidden="1" customHeight="1" x14ac:dyDescent="0.25">
      <c r="C4" s="44"/>
      <c r="F4" s="45"/>
      <c r="G4" s="44"/>
    </row>
    <row r="5" spans="1:7" hidden="1" x14ac:dyDescent="0.25"/>
    <row r="9" spans="1:7" ht="20.100000000000001" customHeight="1" x14ac:dyDescent="0.25">
      <c r="B9" s="79" t="s">
        <v>24</v>
      </c>
      <c r="C9" s="80"/>
      <c r="E9" s="71" t="s">
        <v>23</v>
      </c>
      <c r="F9" s="72"/>
    </row>
    <row r="10" spans="1:7" s="2" customFormat="1" ht="20.100000000000001" customHeight="1" x14ac:dyDescent="0.25">
      <c r="B10" s="11" t="s">
        <v>21</v>
      </c>
      <c r="C10" s="14" t="s">
        <v>131</v>
      </c>
      <c r="E10" s="13" t="s">
        <v>18</v>
      </c>
      <c r="F10" s="15" t="s">
        <v>126</v>
      </c>
    </row>
    <row r="11" spans="1:7" s="2" customFormat="1" ht="20.100000000000001" customHeight="1" x14ac:dyDescent="0.25">
      <c r="B11" s="11" t="s">
        <v>49</v>
      </c>
      <c r="C11" s="14" t="s">
        <v>126</v>
      </c>
      <c r="E11" s="13" t="s">
        <v>31</v>
      </c>
      <c r="F11" s="16" t="s">
        <v>126</v>
      </c>
    </row>
    <row r="12" spans="1:7" s="2" customFormat="1" ht="20.100000000000001" customHeight="1" x14ac:dyDescent="0.25">
      <c r="B12" s="11" t="s">
        <v>52</v>
      </c>
      <c r="C12" s="14"/>
      <c r="E12" s="21" t="s">
        <v>32</v>
      </c>
      <c r="F12" s="16" t="s">
        <v>126</v>
      </c>
    </row>
    <row r="13" spans="1:7" s="2" customFormat="1" ht="20.100000000000001" customHeight="1" x14ac:dyDescent="0.25">
      <c r="B13" s="11" t="s">
        <v>97</v>
      </c>
      <c r="C13" s="14" t="s">
        <v>148</v>
      </c>
      <c r="E13" s="61"/>
      <c r="F13" s="60"/>
    </row>
    <row r="14" spans="1:7" ht="21.9" customHeight="1" x14ac:dyDescent="0.25">
      <c r="B14" s="11" t="s">
        <v>95</v>
      </c>
      <c r="C14" s="14" t="s">
        <v>134</v>
      </c>
      <c r="E14" s="81" t="s">
        <v>33</v>
      </c>
      <c r="F14" s="82"/>
    </row>
    <row r="15" spans="1:7" ht="20.100000000000001" customHeight="1" x14ac:dyDescent="0.25">
      <c r="B15" s="11" t="s">
        <v>19</v>
      </c>
      <c r="C15" s="20">
        <v>45982</v>
      </c>
      <c r="E15" s="13" t="s">
        <v>41</v>
      </c>
      <c r="F15" s="16"/>
    </row>
    <row r="16" spans="1:7" ht="20.100000000000001" customHeight="1" x14ac:dyDescent="0.25">
      <c r="B16" s="11" t="s">
        <v>20</v>
      </c>
      <c r="C16" s="20">
        <v>46012</v>
      </c>
      <c r="E16" s="13" t="s">
        <v>42</v>
      </c>
      <c r="F16" s="16"/>
    </row>
    <row r="17" spans="2:6" ht="20.100000000000001" customHeight="1" x14ac:dyDescent="0.25">
      <c r="B17" s="11" t="s">
        <v>115</v>
      </c>
      <c r="C17" s="20" t="s">
        <v>139</v>
      </c>
      <c r="E17" s="13" t="s">
        <v>43</v>
      </c>
      <c r="F17" s="16"/>
    </row>
    <row r="18" spans="2:6" ht="20.100000000000001" customHeight="1" x14ac:dyDescent="0.25">
      <c r="B18" s="11" t="s">
        <v>0</v>
      </c>
      <c r="C18" s="14" t="s">
        <v>137</v>
      </c>
      <c r="E18" s="13" t="s">
        <v>44</v>
      </c>
      <c r="F18" s="18"/>
    </row>
    <row r="19" spans="2:6" ht="20.100000000000001" customHeight="1" x14ac:dyDescent="0.25">
      <c r="B19" s="11" t="s">
        <v>12</v>
      </c>
      <c r="C19" s="14" t="s">
        <v>141</v>
      </c>
      <c r="E19" s="27" t="s">
        <v>40</v>
      </c>
      <c r="F19" s="84"/>
    </row>
    <row r="20" spans="2:6" ht="20.100000000000001" customHeight="1" x14ac:dyDescent="0.25">
      <c r="B20" s="11" t="s">
        <v>13</v>
      </c>
      <c r="C20" s="29" t="s">
        <v>51</v>
      </c>
      <c r="E20" s="28"/>
      <c r="F20" s="85"/>
    </row>
    <row r="21" spans="2:6" ht="20.100000000000001" customHeight="1" x14ac:dyDescent="0.25">
      <c r="B21" s="9" t="s">
        <v>22</v>
      </c>
      <c r="C21" s="10"/>
      <c r="E21" s="28"/>
      <c r="F21" s="85"/>
    </row>
    <row r="22" spans="2:6" ht="20.100000000000001" customHeight="1" x14ac:dyDescent="0.25">
      <c r="B22" s="81" t="s">
        <v>17</v>
      </c>
      <c r="C22" s="82"/>
      <c r="E22" s="28"/>
      <c r="F22" s="85"/>
    </row>
    <row r="23" spans="2:6" ht="20.100000000000001" customHeight="1" x14ac:dyDescent="0.25">
      <c r="B23" s="12" t="s">
        <v>7</v>
      </c>
      <c r="C23" s="15" t="s">
        <v>156</v>
      </c>
      <c r="E23" s="28"/>
      <c r="F23" s="85"/>
    </row>
    <row r="24" spans="2:6" ht="20.100000000000001" customHeight="1" x14ac:dyDescent="0.25">
      <c r="B24" s="13" t="s">
        <v>6</v>
      </c>
      <c r="C24" s="16" t="s">
        <v>156</v>
      </c>
      <c r="E24" s="28"/>
      <c r="F24" s="85"/>
    </row>
    <row r="25" spans="2:6" ht="20.100000000000001" customHeight="1" x14ac:dyDescent="0.25">
      <c r="B25" s="13" t="s">
        <v>30</v>
      </c>
      <c r="C25" s="16" t="s">
        <v>158</v>
      </c>
      <c r="E25" s="28"/>
      <c r="F25" s="85"/>
    </row>
    <row r="26" spans="2:6" ht="20.100000000000001" customHeight="1" x14ac:dyDescent="0.25">
      <c r="B26" s="13"/>
      <c r="C26" s="16" t="s">
        <v>126</v>
      </c>
      <c r="E26" s="28"/>
      <c r="F26" s="85"/>
    </row>
    <row r="27" spans="2:6" ht="20.100000000000001" customHeight="1" x14ac:dyDescent="0.25">
      <c r="B27" s="13"/>
      <c r="C27" s="16" t="s">
        <v>126</v>
      </c>
      <c r="E27" s="28"/>
      <c r="F27" s="85"/>
    </row>
    <row r="28" spans="2:6" ht="20.100000000000001" customHeight="1" x14ac:dyDescent="0.25">
      <c r="B28" s="13" t="s">
        <v>11</v>
      </c>
      <c r="C28" s="22" t="s">
        <v>259</v>
      </c>
      <c r="E28" s="28"/>
      <c r="F28" s="85"/>
    </row>
    <row r="29" spans="2:6" ht="20.100000000000001" customHeight="1" x14ac:dyDescent="0.25">
      <c r="B29" s="13" t="s">
        <v>8</v>
      </c>
      <c r="C29" s="17" t="s">
        <v>166</v>
      </c>
      <c r="E29" s="28"/>
      <c r="F29" s="86"/>
    </row>
    <row r="30" spans="2:6" ht="20.100000000000001" customHeight="1" x14ac:dyDescent="0.25">
      <c r="B30" s="13" t="s">
        <v>31</v>
      </c>
      <c r="C30" s="17" t="s">
        <v>170</v>
      </c>
      <c r="E30" s="23"/>
      <c r="F30" s="23"/>
    </row>
    <row r="31" spans="2:6" ht="20.100000000000001" customHeight="1" x14ac:dyDescent="0.25">
      <c r="B31" s="13" t="s">
        <v>32</v>
      </c>
      <c r="C31" s="17" t="s">
        <v>126</v>
      </c>
      <c r="E31" s="23"/>
      <c r="F31" s="73" t="s">
        <v>90</v>
      </c>
    </row>
    <row r="32" spans="2:6" ht="31.95" customHeight="1" x14ac:dyDescent="0.25">
      <c r="B32" s="61"/>
      <c r="C32" s="68"/>
      <c r="E32" s="23"/>
      <c r="F32" s="70" t="s">
        <v>124</v>
      </c>
    </row>
    <row r="33" spans="2:6" ht="15.9" customHeight="1" x14ac:dyDescent="0.25">
      <c r="B33" s="61"/>
      <c r="C33" s="68"/>
      <c r="E33" s="23"/>
      <c r="F33" s="69" t="s">
        <v>119</v>
      </c>
    </row>
    <row r="34" spans="2:6" ht="69" customHeight="1" x14ac:dyDescent="0.25">
      <c r="F34" s="66" t="s">
        <v>108</v>
      </c>
    </row>
    <row r="35" spans="2:6" ht="20.100000000000001" customHeight="1" x14ac:dyDescent="0.3">
      <c r="E35" s="87" t="s">
        <v>118</v>
      </c>
      <c r="F35" s="87"/>
    </row>
    <row r="36" spans="2:6" ht="42" customHeight="1" x14ac:dyDescent="0.25">
      <c r="B36" s="83" t="s">
        <v>103</v>
      </c>
      <c r="C36" s="83"/>
      <c r="F36" s="63"/>
    </row>
    <row r="37" spans="2:6" ht="20.100000000000001" customHeight="1" x14ac:dyDescent="0.25">
      <c r="B37" s="78" t="s">
        <v>96</v>
      </c>
      <c r="C37" s="78"/>
      <c r="F37" s="62" t="s">
        <v>260</v>
      </c>
    </row>
    <row r="38" spans="2:6" ht="20.100000000000001" customHeight="1" x14ac:dyDescent="0.25">
      <c r="B38" s="78" t="s">
        <v>39</v>
      </c>
      <c r="C38" s="78"/>
      <c r="F38" s="62"/>
    </row>
    <row r="39" spans="2:6" ht="17.399999999999999" hidden="1" x14ac:dyDescent="0.25">
      <c r="B39" s="56"/>
      <c r="C39" s="56"/>
      <c r="E39" s="63"/>
      <c r="F39" s="64" t="s">
        <v>104</v>
      </c>
    </row>
    <row r="40" spans="2:6" ht="20.100000000000001" customHeight="1" x14ac:dyDescent="0.25">
      <c r="B40" s="56"/>
      <c r="C40" s="56"/>
      <c r="E40" s="57"/>
    </row>
    <row r="41" spans="2:6" ht="20.100000000000001" customHeight="1" x14ac:dyDescent="0.25">
      <c r="B41" s="76" t="s">
        <v>117</v>
      </c>
      <c r="C41" s="76"/>
      <c r="E41" s="57"/>
    </row>
    <row r="42" spans="2:6" s="57" customFormat="1" ht="77.25" customHeight="1" x14ac:dyDescent="0.25">
      <c r="B42" s="56"/>
      <c r="C42" s="67"/>
    </row>
    <row r="43" spans="2:6" s="57" customFormat="1" ht="78.75" customHeight="1" x14ac:dyDescent="0.25">
      <c r="B43" s="56"/>
      <c r="C43" s="67"/>
    </row>
  </sheetData>
  <mergeCells count="10">
    <mergeCell ref="B41:C41"/>
    <mergeCell ref="A2:G2"/>
    <mergeCell ref="B37:C37"/>
    <mergeCell ref="B38:C38"/>
    <mergeCell ref="B9:C9"/>
    <mergeCell ref="E14:F14"/>
    <mergeCell ref="B36:C36"/>
    <mergeCell ref="B22:C22"/>
    <mergeCell ref="F19:F29"/>
    <mergeCell ref="E35:F35"/>
  </mergeCells>
  <phoneticPr fontId="2" type="noConversion"/>
  <hyperlinks>
    <hyperlink ref="E35" r:id="rId1" xr:uid="{3514370F-341C-42D2-9AD6-1CB88CF0152C}"/>
    <hyperlink ref="F33" r:id="rId2" xr:uid="{D0C42F40-D8EC-472B-ABB5-EA71F035118B}"/>
    <hyperlink ref="F39" r:id="rId3" xr:uid="{00000000-0004-0000-0200-000001000000}"/>
  </hyperlinks>
  <printOptions horizontalCentered="1"/>
  <pageMargins left="0.5" right="0.5" top="0.5" bottom="0.5" header="0" footer="0"/>
  <pageSetup scale="65" orientation="landscape" r:id="rId4"/>
  <headerFooter alignWithMargins="0">
    <oddFooter>&amp;LPrinted: &amp;D    &amp;T&amp;RPage &amp;P of &amp;N</oddFooter>
  </headerFooter>
  <drawing r:id="rId5"/>
  <legacyDrawing r:id="rId6"/>
  <legacyDrawingHF r:id="rId7"/>
  <oleObjects>
    <mc:AlternateContent xmlns:mc="http://schemas.openxmlformats.org/markup-compatibility/2006">
      <mc:Choice Requires="x14">
        <oleObject progId="Acrobat Document" dvAspect="DVASPECT_ICON" shapeId="44557" r:id="rId8">
          <objectPr defaultSize="0" r:id="rId9">
            <anchor moveWithCells="1">
              <from>
                <xdr:col>4</xdr:col>
                <xdr:colOff>0</xdr:colOff>
                <xdr:row>30</xdr:row>
                <xdr:rowOff>0</xdr:rowOff>
              </from>
              <to>
                <xdr:col>4</xdr:col>
                <xdr:colOff>914400</xdr:colOff>
                <xdr:row>32</xdr:row>
                <xdr:rowOff>30480</xdr:rowOff>
              </to>
            </anchor>
          </objectPr>
        </oleObject>
      </mc:Choice>
      <mc:Fallback>
        <oleObject progId="Acrobat Document" dvAspect="DVASPECT_ICON" shapeId="44557" r:id="rId8"/>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U59"/>
  <sheetViews>
    <sheetView workbookViewId="0"/>
  </sheetViews>
  <sheetFormatPr defaultColWidth="9.109375" defaultRowHeight="10.199999999999999" x14ac:dyDescent="0.25"/>
  <cols>
    <col min="1" max="1" width="10.33203125" style="1" customWidth="1"/>
    <col min="2" max="2" width="15.6640625" style="1" customWidth="1"/>
    <col min="3" max="3" width="40.6640625" style="89" customWidth="1"/>
    <col min="4" max="4" width="11.6640625" style="30" hidden="1" customWidth="1"/>
    <col min="5" max="5" width="11.6640625" style="30" customWidth="1"/>
    <col min="6" max="6" width="11.6640625" style="100" hidden="1" customWidth="1"/>
    <col min="7" max="7" width="11.6640625" style="30" hidden="1" customWidth="1"/>
    <col min="8" max="8" width="11.6640625" style="100" hidden="1" customWidth="1"/>
    <col min="9" max="9" width="11.6640625" style="30" hidden="1" customWidth="1"/>
    <col min="10" max="10" width="11.6640625" style="100" customWidth="1"/>
    <col min="11" max="11" width="11.6640625" style="30" hidden="1" customWidth="1"/>
    <col min="12" max="12" width="11.6640625" style="30" customWidth="1"/>
    <col min="13" max="13" width="11.6640625" style="30" hidden="1" customWidth="1"/>
    <col min="14" max="14" width="6.77734375" style="95" customWidth="1"/>
    <col min="15" max="17" width="11.6640625" style="30" customWidth="1"/>
    <col min="18" max="18" width="11.6640625" style="30" hidden="1" customWidth="1"/>
    <col min="19" max="21" width="11.6640625" style="30" customWidth="1"/>
    <col min="22" max="16384" width="9.109375" style="1"/>
  </cols>
  <sheetData>
    <row r="1" spans="1:21" ht="29.25" customHeight="1" x14ac:dyDescent="0.25">
      <c r="A1" s="37" t="s">
        <v>47</v>
      </c>
      <c r="B1" s="38" t="s">
        <v>36</v>
      </c>
      <c r="F1" s="139"/>
    </row>
    <row r="2" spans="1:21" ht="26.25" customHeight="1" x14ac:dyDescent="0.25">
      <c r="A2" s="37" t="s">
        <v>88</v>
      </c>
      <c r="B2" s="38" t="s">
        <v>64</v>
      </c>
      <c r="C2" s="1"/>
      <c r="D2" s="36"/>
      <c r="E2" s="36"/>
    </row>
    <row r="3" spans="1:21" x14ac:dyDescent="0.25">
      <c r="B3" s="8"/>
      <c r="C3" s="90"/>
      <c r="D3" s="36"/>
      <c r="E3" s="36"/>
    </row>
    <row r="4" spans="1:21" x14ac:dyDescent="0.25">
      <c r="A4" s="1" t="s">
        <v>262</v>
      </c>
      <c r="B4" s="8"/>
      <c r="C4" s="90"/>
      <c r="D4" s="36"/>
      <c r="E4" s="36"/>
    </row>
    <row r="5" spans="1:21" x14ac:dyDescent="0.25">
      <c r="A5" s="1" t="str">
        <f>QuoteNumber</f>
        <v>2025-404752</v>
      </c>
      <c r="B5" s="8"/>
      <c r="C5" s="90"/>
      <c r="D5" s="36"/>
      <c r="E5" s="36"/>
    </row>
    <row r="6" spans="1:21" x14ac:dyDescent="0.25">
      <c r="B6" s="8"/>
      <c r="C6" s="90"/>
    </row>
    <row r="7" spans="1:21" s="47" customFormat="1" ht="30.6" x14ac:dyDescent="0.25">
      <c r="A7" s="97" t="s">
        <v>173</v>
      </c>
      <c r="B7" s="97" t="s">
        <v>174</v>
      </c>
      <c r="C7" s="97" t="s">
        <v>175</v>
      </c>
      <c r="D7" s="98" t="s">
        <v>176</v>
      </c>
      <c r="E7" s="98" t="s">
        <v>261</v>
      </c>
      <c r="F7" s="101" t="s">
        <v>178</v>
      </c>
      <c r="G7" s="98" t="s">
        <v>179</v>
      </c>
      <c r="H7" s="101" t="s">
        <v>180</v>
      </c>
      <c r="I7" s="98" t="s">
        <v>181</v>
      </c>
      <c r="J7" s="101" t="s">
        <v>265</v>
      </c>
      <c r="K7" s="98" t="s">
        <v>183</v>
      </c>
      <c r="L7" s="98" t="s">
        <v>184</v>
      </c>
      <c r="M7" s="98" t="s">
        <v>185</v>
      </c>
      <c r="N7" s="99" t="s">
        <v>186</v>
      </c>
      <c r="O7" s="98" t="s">
        <v>263</v>
      </c>
      <c r="P7" s="98" t="s">
        <v>264</v>
      </c>
      <c r="Q7" s="98" t="s">
        <v>189</v>
      </c>
      <c r="R7" s="48"/>
      <c r="S7" s="48"/>
      <c r="T7" s="48"/>
      <c r="U7" s="48"/>
    </row>
    <row r="8" spans="1:21" s="19" customFormat="1" x14ac:dyDescent="0.25">
      <c r="A8" s="19" t="s">
        <v>190</v>
      </c>
      <c r="B8" s="19" t="s">
        <v>191</v>
      </c>
      <c r="C8" s="94" t="s">
        <v>192</v>
      </c>
      <c r="D8" s="31">
        <v>1</v>
      </c>
      <c r="E8" s="31"/>
      <c r="F8" s="102"/>
      <c r="G8" s="31"/>
      <c r="H8" s="102"/>
      <c r="I8" s="31"/>
      <c r="J8" s="102"/>
      <c r="K8" s="31"/>
      <c r="L8" s="31"/>
      <c r="M8" s="31">
        <v>0</v>
      </c>
      <c r="N8" s="96">
        <v>1</v>
      </c>
      <c r="O8" s="31">
        <f>UnitPrice*(1-Discount)</f>
        <v>0</v>
      </c>
      <c r="P8" s="31">
        <f>(NetPrice*Qty)+(Freight*Qty)</f>
        <v>0</v>
      </c>
      <c r="Q8" s="31">
        <f>ExtendedPrice</f>
        <v>0</v>
      </c>
      <c r="R8" s="31"/>
      <c r="S8" s="31"/>
      <c r="T8" s="31"/>
      <c r="U8" s="31"/>
    </row>
    <row r="9" spans="1:21" x14ac:dyDescent="0.25">
      <c r="A9" s="114" t="s">
        <v>126</v>
      </c>
      <c r="B9" s="115" t="s">
        <v>193</v>
      </c>
      <c r="C9" s="116" t="s">
        <v>194</v>
      </c>
      <c r="D9" s="117"/>
      <c r="E9" s="117"/>
      <c r="F9" s="118"/>
      <c r="G9" s="117"/>
      <c r="H9" s="118"/>
      <c r="I9" s="117"/>
      <c r="J9" s="118"/>
      <c r="K9" s="117"/>
      <c r="L9" s="117"/>
      <c r="M9" s="117"/>
      <c r="N9" s="119"/>
      <c r="O9" s="117"/>
      <c r="P9" s="120"/>
    </row>
    <row r="10" spans="1:21" hidden="1" x14ac:dyDescent="0.25">
      <c r="A10" s="113" t="s">
        <v>126</v>
      </c>
      <c r="B10" s="105" t="s">
        <v>195</v>
      </c>
      <c r="C10" s="106" t="s">
        <v>196</v>
      </c>
      <c r="D10" s="107"/>
      <c r="E10" s="107"/>
      <c r="F10" s="108"/>
      <c r="G10" s="107"/>
      <c r="H10" s="108"/>
      <c r="I10" s="107"/>
      <c r="J10" s="108"/>
      <c r="K10" s="107"/>
      <c r="L10" s="107"/>
      <c r="M10" s="107"/>
      <c r="N10" s="109"/>
      <c r="O10" s="107"/>
      <c r="P10" s="121"/>
    </row>
    <row r="11" spans="1:21" x14ac:dyDescent="0.25">
      <c r="A11" s="113" t="s">
        <v>126</v>
      </c>
      <c r="B11" s="105" t="s">
        <v>197</v>
      </c>
      <c r="C11" s="106" t="s">
        <v>198</v>
      </c>
      <c r="D11" s="107"/>
      <c r="E11" s="107"/>
      <c r="F11" s="108"/>
      <c r="G11" s="107"/>
      <c r="H11" s="108"/>
      <c r="I11" s="107"/>
      <c r="J11" s="108"/>
      <c r="K11" s="107"/>
      <c r="L11" s="107"/>
      <c r="M11" s="107"/>
      <c r="N11" s="109"/>
      <c r="O11" s="107"/>
      <c r="P11" s="121"/>
    </row>
    <row r="12" spans="1:21" x14ac:dyDescent="0.25">
      <c r="A12" s="113" t="s">
        <v>126</v>
      </c>
      <c r="B12" s="105" t="s">
        <v>184</v>
      </c>
      <c r="C12" s="110" t="s">
        <v>199</v>
      </c>
      <c r="D12" s="107"/>
      <c r="E12" s="107"/>
      <c r="F12" s="108"/>
      <c r="G12" s="107"/>
      <c r="H12" s="108"/>
      <c r="I12" s="107"/>
      <c r="J12" s="108"/>
      <c r="K12" s="107"/>
      <c r="L12" s="107"/>
      <c r="M12" s="107"/>
      <c r="N12" s="109"/>
      <c r="O12" s="107"/>
      <c r="P12" s="121"/>
    </row>
    <row r="13" spans="1:21" hidden="1" x14ac:dyDescent="0.25">
      <c r="A13" s="113" t="s">
        <v>126</v>
      </c>
      <c r="B13" s="104" t="s">
        <v>126</v>
      </c>
      <c r="C13" s="111"/>
      <c r="D13" s="107"/>
      <c r="E13" s="107"/>
      <c r="F13" s="108"/>
      <c r="G13" s="107"/>
      <c r="H13" s="108"/>
      <c r="I13" s="107"/>
      <c r="J13" s="108"/>
      <c r="K13" s="107"/>
      <c r="L13" s="107"/>
      <c r="M13" s="107"/>
      <c r="N13" s="109"/>
      <c r="O13" s="107"/>
      <c r="P13" s="121"/>
    </row>
    <row r="14" spans="1:21" hidden="1" x14ac:dyDescent="0.25">
      <c r="A14" s="113" t="s">
        <v>126</v>
      </c>
      <c r="B14" s="105" t="s">
        <v>200</v>
      </c>
      <c r="C14" s="106" t="s">
        <v>201</v>
      </c>
      <c r="D14" s="107"/>
      <c r="E14" s="107"/>
      <c r="F14" s="108"/>
      <c r="G14" s="107"/>
      <c r="H14" s="108"/>
      <c r="I14" s="107"/>
      <c r="J14" s="108"/>
      <c r="K14" s="107"/>
      <c r="L14" s="107"/>
      <c r="M14" s="107"/>
      <c r="N14" s="109"/>
      <c r="O14" s="107"/>
      <c r="P14" s="121"/>
    </row>
    <row r="15" spans="1:21" ht="30.6" x14ac:dyDescent="0.25">
      <c r="A15" s="113" t="s">
        <v>126</v>
      </c>
      <c r="B15" s="104" t="s">
        <v>202</v>
      </c>
      <c r="C15" s="104" t="s">
        <v>203</v>
      </c>
      <c r="D15" s="107" t="s">
        <v>204</v>
      </c>
      <c r="E15" s="107">
        <v>4031</v>
      </c>
      <c r="F15" s="108">
        <v>0.35003721161002233</v>
      </c>
      <c r="G15" s="107">
        <v>2620</v>
      </c>
      <c r="H15" s="108">
        <v>0.4500124038700074</v>
      </c>
      <c r="I15" s="107">
        <v>2217</v>
      </c>
      <c r="J15" s="108">
        <v>0.44999999999999996</v>
      </c>
      <c r="K15" s="107" t="s">
        <v>205</v>
      </c>
      <c r="L15" s="107" t="s">
        <v>126</v>
      </c>
      <c r="M15" s="107"/>
      <c r="N15" s="109">
        <v>1</v>
      </c>
      <c r="O15" s="107">
        <f>UnitPrice*(1-Discount)</f>
        <v>2217.0500000000002</v>
      </c>
      <c r="P15" s="121">
        <f>(NetPrice*Qty)+(Freight*Qty)</f>
        <v>2217.0500000000002</v>
      </c>
    </row>
    <row r="16" spans="1:21" ht="220.8" hidden="1" x14ac:dyDescent="0.25">
      <c r="A16" s="113"/>
      <c r="B16" s="104"/>
      <c r="C16" s="111" t="s">
        <v>206</v>
      </c>
      <c r="D16" s="107"/>
      <c r="E16" s="107"/>
      <c r="F16" s="108"/>
      <c r="G16" s="107"/>
      <c r="H16" s="108"/>
      <c r="I16" s="107"/>
      <c r="J16" s="108"/>
      <c r="K16" s="107"/>
      <c r="L16" s="107"/>
      <c r="M16" s="107"/>
      <c r="N16" s="109"/>
      <c r="O16" s="107"/>
      <c r="P16" s="121"/>
    </row>
    <row r="17" spans="1:18" ht="20.399999999999999" x14ac:dyDescent="0.25">
      <c r="A17" s="113" t="s">
        <v>126</v>
      </c>
      <c r="B17" s="112" t="s">
        <v>207</v>
      </c>
      <c r="C17" s="104" t="s">
        <v>208</v>
      </c>
      <c r="D17" s="107" t="s">
        <v>204</v>
      </c>
      <c r="E17" s="107">
        <v>6500</v>
      </c>
      <c r="F17" s="108">
        <v>0.35</v>
      </c>
      <c r="G17" s="107">
        <v>4225</v>
      </c>
      <c r="H17" s="108">
        <v>0.44999999999999996</v>
      </c>
      <c r="I17" s="107">
        <v>3575</v>
      </c>
      <c r="J17" s="108">
        <v>0.44999999999999996</v>
      </c>
      <c r="K17" s="107" t="s">
        <v>205</v>
      </c>
      <c r="L17" s="107" t="s">
        <v>126</v>
      </c>
      <c r="M17" s="107"/>
      <c r="N17" s="109">
        <v>2</v>
      </c>
      <c r="O17" s="107">
        <f>UnitPrice*(1-Discount)</f>
        <v>3575.0000000000005</v>
      </c>
      <c r="P17" s="121">
        <f>(NetPrice*Qty)+(Freight*Qty)</f>
        <v>7150.0000000000009</v>
      </c>
    </row>
    <row r="18" spans="1:18" ht="57.6" hidden="1" x14ac:dyDescent="0.25">
      <c r="A18" s="113"/>
      <c r="B18" s="104"/>
      <c r="C18" s="111" t="s">
        <v>209</v>
      </c>
      <c r="D18" s="107"/>
      <c r="E18" s="107"/>
      <c r="F18" s="108"/>
      <c r="G18" s="107"/>
      <c r="H18" s="108"/>
      <c r="I18" s="107"/>
      <c r="J18" s="108"/>
      <c r="K18" s="107"/>
      <c r="L18" s="107"/>
      <c r="M18" s="107"/>
      <c r="N18" s="109"/>
      <c r="O18" s="107"/>
      <c r="P18" s="121"/>
    </row>
    <row r="19" spans="1:18" ht="20.399999999999999" x14ac:dyDescent="0.25">
      <c r="A19" s="113" t="s">
        <v>126</v>
      </c>
      <c r="B19" s="104" t="s">
        <v>210</v>
      </c>
      <c r="C19" s="104" t="s">
        <v>211</v>
      </c>
      <c r="D19" s="107" t="s">
        <v>204</v>
      </c>
      <c r="E19" s="107">
        <v>231</v>
      </c>
      <c r="F19" s="108">
        <v>0.35064935064935066</v>
      </c>
      <c r="G19" s="107">
        <v>150</v>
      </c>
      <c r="H19" s="108">
        <v>0.45021645021645018</v>
      </c>
      <c r="I19" s="107">
        <v>127</v>
      </c>
      <c r="J19" s="108">
        <v>1</v>
      </c>
      <c r="K19" s="107" t="s">
        <v>205</v>
      </c>
      <c r="L19" s="107" t="s">
        <v>126</v>
      </c>
      <c r="M19" s="107"/>
      <c r="N19" s="109">
        <v>1</v>
      </c>
      <c r="O19" s="107">
        <f>UnitPrice*(1-Discount)</f>
        <v>0</v>
      </c>
      <c r="P19" s="121">
        <f>(NetPrice*Qty)+(Freight*Qty)</f>
        <v>0</v>
      </c>
    </row>
    <row r="20" spans="1:18" hidden="1" x14ac:dyDescent="0.25">
      <c r="A20" s="113"/>
      <c r="B20" s="104"/>
      <c r="C20" s="111" t="s">
        <v>126</v>
      </c>
      <c r="D20" s="107"/>
      <c r="E20" s="107"/>
      <c r="F20" s="108"/>
      <c r="G20" s="107"/>
      <c r="H20" s="108"/>
      <c r="I20" s="107"/>
      <c r="J20" s="108"/>
      <c r="K20" s="107"/>
      <c r="L20" s="107"/>
      <c r="M20" s="107"/>
      <c r="N20" s="109"/>
      <c r="O20" s="107"/>
      <c r="P20" s="121"/>
    </row>
    <row r="21" spans="1:18" ht="20.399999999999999" x14ac:dyDescent="0.25">
      <c r="A21" s="113" t="s">
        <v>126</v>
      </c>
      <c r="B21" s="104" t="s">
        <v>212</v>
      </c>
      <c r="C21" s="104" t="s">
        <v>213</v>
      </c>
      <c r="D21" s="107" t="s">
        <v>204</v>
      </c>
      <c r="E21" s="107">
        <v>525</v>
      </c>
      <c r="F21" s="108">
        <v>0.3504761904761905</v>
      </c>
      <c r="G21" s="107">
        <v>341</v>
      </c>
      <c r="H21" s="108">
        <v>0.44952380952380955</v>
      </c>
      <c r="I21" s="107">
        <v>289</v>
      </c>
      <c r="J21" s="108">
        <v>0.44999999999999996</v>
      </c>
      <c r="K21" s="107" t="s">
        <v>205</v>
      </c>
      <c r="L21" s="107" t="s">
        <v>126</v>
      </c>
      <c r="M21" s="107"/>
      <c r="N21" s="109">
        <v>1</v>
      </c>
      <c r="O21" s="107">
        <f>UnitPrice*(1-Discount)</f>
        <v>288.75</v>
      </c>
      <c r="P21" s="121">
        <f>(NetPrice*Qty)+(Freight*Qty)</f>
        <v>288.75</v>
      </c>
    </row>
    <row r="22" spans="1:18" ht="76.8" hidden="1" x14ac:dyDescent="0.25">
      <c r="A22" s="113"/>
      <c r="B22" s="104"/>
      <c r="C22" s="111" t="s">
        <v>214</v>
      </c>
      <c r="D22" s="107"/>
      <c r="E22" s="107"/>
      <c r="F22" s="108"/>
      <c r="G22" s="107"/>
      <c r="H22" s="108"/>
      <c r="I22" s="107"/>
      <c r="J22" s="108"/>
      <c r="K22" s="107"/>
      <c r="L22" s="107"/>
      <c r="M22" s="107"/>
      <c r="N22" s="109"/>
      <c r="O22" s="107"/>
      <c r="P22" s="121"/>
    </row>
    <row r="23" spans="1:18" ht="20.399999999999999" x14ac:dyDescent="0.25">
      <c r="A23" s="113" t="s">
        <v>126</v>
      </c>
      <c r="B23" s="104" t="s">
        <v>215</v>
      </c>
      <c r="C23" s="104" t="s">
        <v>216</v>
      </c>
      <c r="D23" s="107" t="s">
        <v>204</v>
      </c>
      <c r="E23" s="107">
        <v>319</v>
      </c>
      <c r="F23" s="108">
        <v>0.2507836990595611</v>
      </c>
      <c r="G23" s="107">
        <v>239</v>
      </c>
      <c r="H23" s="108">
        <v>0.45141065830721006</v>
      </c>
      <c r="I23" s="107">
        <v>175</v>
      </c>
      <c r="J23" s="108">
        <v>0.45000000000000007</v>
      </c>
      <c r="K23" s="107" t="s">
        <v>205</v>
      </c>
      <c r="L23" s="107" t="s">
        <v>126</v>
      </c>
      <c r="M23" s="107"/>
      <c r="N23" s="109">
        <v>2</v>
      </c>
      <c r="O23" s="107">
        <f>UnitPrice*(1-Discount)</f>
        <v>175.45</v>
      </c>
      <c r="P23" s="121">
        <f>(NetPrice*Qty)+(Freight*Qty)</f>
        <v>350.9</v>
      </c>
    </row>
    <row r="24" spans="1:18" hidden="1" x14ac:dyDescent="0.25">
      <c r="A24" s="113"/>
      <c r="B24" s="104"/>
      <c r="C24" s="111" t="s">
        <v>126</v>
      </c>
      <c r="D24" s="107"/>
      <c r="E24" s="107"/>
      <c r="F24" s="108"/>
      <c r="G24" s="107"/>
      <c r="H24" s="108"/>
      <c r="I24" s="107"/>
      <c r="J24" s="108"/>
      <c r="K24" s="107"/>
      <c r="L24" s="107"/>
      <c r="M24" s="107"/>
      <c r="N24" s="109"/>
      <c r="O24" s="107"/>
      <c r="P24" s="121"/>
    </row>
    <row r="25" spans="1:18" x14ac:dyDescent="0.25">
      <c r="A25" s="113" t="s">
        <v>126</v>
      </c>
      <c r="B25" s="104" t="s">
        <v>217</v>
      </c>
      <c r="C25" s="104" t="s">
        <v>218</v>
      </c>
      <c r="D25" s="107" t="s">
        <v>204</v>
      </c>
      <c r="E25" s="107">
        <v>300.2</v>
      </c>
      <c r="F25" s="108">
        <v>0</v>
      </c>
      <c r="G25" s="107">
        <v>300.2</v>
      </c>
      <c r="H25" s="108">
        <v>0</v>
      </c>
      <c r="I25" s="107">
        <v>300.2</v>
      </c>
      <c r="J25" s="108">
        <v>0</v>
      </c>
      <c r="K25" s="107" t="s">
        <v>205</v>
      </c>
      <c r="L25" s="107" t="s">
        <v>126</v>
      </c>
      <c r="M25" s="107"/>
      <c r="N25" s="109">
        <v>1</v>
      </c>
      <c r="O25" s="107">
        <f>UnitPrice*(1-Discount)</f>
        <v>300.2</v>
      </c>
      <c r="P25" s="121">
        <f>(NetPrice*Qty)+(Freight*Qty)</f>
        <v>300.2</v>
      </c>
    </row>
    <row r="26" spans="1:18" hidden="1" x14ac:dyDescent="0.25">
      <c r="A26" s="113"/>
      <c r="B26" s="104"/>
      <c r="C26" s="111" t="s">
        <v>126</v>
      </c>
      <c r="D26" s="107"/>
      <c r="E26" s="107"/>
      <c r="F26" s="108"/>
      <c r="G26" s="107"/>
      <c r="H26" s="108"/>
      <c r="I26" s="107"/>
      <c r="J26" s="108"/>
      <c r="K26" s="107"/>
      <c r="L26" s="107"/>
      <c r="M26" s="107"/>
      <c r="N26" s="109"/>
      <c r="O26" s="107"/>
      <c r="P26" s="121"/>
    </row>
    <row r="27" spans="1:18" x14ac:dyDescent="0.25">
      <c r="A27" s="122"/>
      <c r="B27" s="115" t="s">
        <v>266</v>
      </c>
      <c r="C27" s="123" t="s">
        <v>219</v>
      </c>
      <c r="D27" s="124"/>
      <c r="E27" s="124"/>
      <c r="F27" s="125"/>
      <c r="G27" s="124"/>
      <c r="H27" s="125"/>
      <c r="I27" s="124"/>
      <c r="J27" s="125"/>
      <c r="K27" s="124"/>
      <c r="L27" s="124"/>
      <c r="M27" s="124"/>
      <c r="N27" s="126"/>
      <c r="O27" s="124"/>
      <c r="P27" s="124"/>
      <c r="Q27" s="103">
        <f>SUM(P9:P26)</f>
        <v>10306.900000000001</v>
      </c>
      <c r="R27" s="30" t="s">
        <v>126</v>
      </c>
    </row>
    <row r="28" spans="1:18" ht="20.399999999999999" x14ac:dyDescent="0.25">
      <c r="A28" s="114" t="s">
        <v>126</v>
      </c>
      <c r="B28" s="122" t="s">
        <v>220</v>
      </c>
      <c r="C28" s="122" t="s">
        <v>221</v>
      </c>
      <c r="D28" s="117" t="s">
        <v>222</v>
      </c>
      <c r="E28" s="117">
        <v>1251</v>
      </c>
      <c r="F28" s="118">
        <v>0.35011990407673865</v>
      </c>
      <c r="G28" s="117">
        <v>813</v>
      </c>
      <c r="H28" s="118">
        <v>0.45003996802557955</v>
      </c>
      <c r="I28" s="117">
        <v>688</v>
      </c>
      <c r="J28" s="118">
        <v>0.5</v>
      </c>
      <c r="K28" s="117" t="s">
        <v>205</v>
      </c>
      <c r="L28" s="117" t="s">
        <v>126</v>
      </c>
      <c r="M28" s="117"/>
      <c r="N28" s="119">
        <v>1</v>
      </c>
      <c r="O28" s="117">
        <f>UnitPrice*(1-Discount)</f>
        <v>625.5</v>
      </c>
      <c r="P28" s="120">
        <f>(NetPrice*Qty)+(Freight*Qty)</f>
        <v>625.5</v>
      </c>
    </row>
    <row r="29" spans="1:18" ht="48" hidden="1" x14ac:dyDescent="0.25">
      <c r="A29" s="113"/>
      <c r="B29" s="104"/>
      <c r="C29" s="111" t="s">
        <v>223</v>
      </c>
      <c r="D29" s="107"/>
      <c r="E29" s="107"/>
      <c r="F29" s="108"/>
      <c r="G29" s="107"/>
      <c r="H29" s="108"/>
      <c r="I29" s="107"/>
      <c r="J29" s="108"/>
      <c r="K29" s="107"/>
      <c r="L29" s="107"/>
      <c r="M29" s="107"/>
      <c r="N29" s="109"/>
      <c r="O29" s="107"/>
      <c r="P29" s="121"/>
    </row>
    <row r="30" spans="1:18" x14ac:dyDescent="0.25">
      <c r="A30" s="113" t="s">
        <v>126</v>
      </c>
      <c r="B30" s="104" t="s">
        <v>224</v>
      </c>
      <c r="C30" s="104" t="s">
        <v>225</v>
      </c>
      <c r="D30" s="107" t="s">
        <v>222</v>
      </c>
      <c r="E30" s="107">
        <v>3000</v>
      </c>
      <c r="F30" s="108">
        <v>0.35</v>
      </c>
      <c r="G30" s="107">
        <v>1950</v>
      </c>
      <c r="H30" s="108">
        <v>0.44999999999999996</v>
      </c>
      <c r="I30" s="107">
        <v>1650</v>
      </c>
      <c r="J30" s="108">
        <v>1</v>
      </c>
      <c r="K30" s="107" t="s">
        <v>205</v>
      </c>
      <c r="L30" s="107" t="s">
        <v>126</v>
      </c>
      <c r="M30" s="107"/>
      <c r="N30" s="109">
        <v>1</v>
      </c>
      <c r="O30" s="107">
        <f>UnitPrice*(1-Discount)</f>
        <v>0</v>
      </c>
      <c r="P30" s="121">
        <f>(NetPrice*Qty)+(Freight*Qty)</f>
        <v>0</v>
      </c>
    </row>
    <row r="31" spans="1:18" ht="48" hidden="1" x14ac:dyDescent="0.25">
      <c r="A31" s="113"/>
      <c r="B31" s="104"/>
      <c r="C31" s="111" t="s">
        <v>226</v>
      </c>
      <c r="D31" s="107"/>
      <c r="E31" s="107"/>
      <c r="F31" s="108"/>
      <c r="G31" s="107"/>
      <c r="H31" s="108"/>
      <c r="I31" s="107"/>
      <c r="J31" s="108"/>
      <c r="K31" s="107"/>
      <c r="L31" s="107"/>
      <c r="M31" s="107"/>
      <c r="N31" s="109"/>
      <c r="O31" s="107"/>
      <c r="P31" s="121"/>
    </row>
    <row r="32" spans="1:18" x14ac:dyDescent="0.25">
      <c r="A32" s="113" t="s">
        <v>126</v>
      </c>
      <c r="B32" s="104" t="s">
        <v>227</v>
      </c>
      <c r="C32" s="104" t="s">
        <v>228</v>
      </c>
      <c r="D32" s="107" t="s">
        <v>222</v>
      </c>
      <c r="E32" s="107">
        <v>6338</v>
      </c>
      <c r="F32" s="108">
        <v>0.34995266645629541</v>
      </c>
      <c r="G32" s="107">
        <v>4120</v>
      </c>
      <c r="H32" s="108">
        <v>0.44998422215209843</v>
      </c>
      <c r="I32" s="107">
        <v>3486</v>
      </c>
      <c r="J32" s="108">
        <v>1</v>
      </c>
      <c r="K32" s="107" t="s">
        <v>205</v>
      </c>
      <c r="L32" s="107" t="s">
        <v>126</v>
      </c>
      <c r="M32" s="107"/>
      <c r="N32" s="109">
        <v>1</v>
      </c>
      <c r="O32" s="107">
        <f>UnitPrice*(1-Discount)</f>
        <v>0</v>
      </c>
      <c r="P32" s="121">
        <f>(NetPrice*Qty)+(Freight*Qty)</f>
        <v>0</v>
      </c>
    </row>
    <row r="33" spans="1:18" ht="76.8" hidden="1" x14ac:dyDescent="0.25">
      <c r="A33" s="113"/>
      <c r="B33" s="104"/>
      <c r="C33" s="111" t="s">
        <v>229</v>
      </c>
      <c r="D33" s="107"/>
      <c r="E33" s="107"/>
      <c r="F33" s="108"/>
      <c r="G33" s="107"/>
      <c r="H33" s="108"/>
      <c r="I33" s="107"/>
      <c r="J33" s="108"/>
      <c r="K33" s="107"/>
      <c r="L33" s="107"/>
      <c r="M33" s="107"/>
      <c r="N33" s="109"/>
      <c r="O33" s="107"/>
      <c r="P33" s="121"/>
    </row>
    <row r="34" spans="1:18" ht="20.399999999999999" x14ac:dyDescent="0.25">
      <c r="A34" s="113" t="s">
        <v>126</v>
      </c>
      <c r="B34" s="104" t="s">
        <v>230</v>
      </c>
      <c r="C34" s="104" t="s">
        <v>231</v>
      </c>
      <c r="D34" s="107" t="s">
        <v>222</v>
      </c>
      <c r="E34" s="107">
        <v>1600</v>
      </c>
      <c r="F34" s="108">
        <v>0.35</v>
      </c>
      <c r="G34" s="107">
        <v>1040</v>
      </c>
      <c r="H34" s="108">
        <v>0.44999999999999996</v>
      </c>
      <c r="I34" s="107">
        <v>880</v>
      </c>
      <c r="J34" s="108">
        <v>0.5</v>
      </c>
      <c r="K34" s="107" t="s">
        <v>205</v>
      </c>
      <c r="L34" s="107" t="s">
        <v>126</v>
      </c>
      <c r="M34" s="107"/>
      <c r="N34" s="109">
        <v>2</v>
      </c>
      <c r="O34" s="107">
        <f>UnitPrice*(1-Discount)</f>
        <v>800</v>
      </c>
      <c r="P34" s="121">
        <f>(NetPrice*Qty)+(Freight*Qty)</f>
        <v>1600</v>
      </c>
    </row>
    <row r="35" spans="1:18" ht="249.6" hidden="1" x14ac:dyDescent="0.25">
      <c r="A35" s="113"/>
      <c r="B35" s="104"/>
      <c r="C35" s="111" t="s">
        <v>232</v>
      </c>
      <c r="D35" s="107"/>
      <c r="E35" s="107"/>
      <c r="F35" s="108"/>
      <c r="G35" s="107"/>
      <c r="H35" s="108"/>
      <c r="I35" s="107"/>
      <c r="J35" s="108"/>
      <c r="K35" s="107"/>
      <c r="L35" s="107"/>
      <c r="M35" s="107"/>
      <c r="N35" s="109"/>
      <c r="O35" s="107"/>
      <c r="P35" s="121"/>
    </row>
    <row r="36" spans="1:18" x14ac:dyDescent="0.25">
      <c r="A36" s="122"/>
      <c r="B36" s="115" t="s">
        <v>266</v>
      </c>
      <c r="C36" s="123" t="s">
        <v>233</v>
      </c>
      <c r="D36" s="124"/>
      <c r="E36" s="124"/>
      <c r="F36" s="125"/>
      <c r="G36" s="124"/>
      <c r="H36" s="125"/>
      <c r="I36" s="124"/>
      <c r="J36" s="125"/>
      <c r="K36" s="124"/>
      <c r="L36" s="124"/>
      <c r="M36" s="124"/>
      <c r="N36" s="126"/>
      <c r="O36" s="124"/>
      <c r="P36" s="124"/>
      <c r="Q36" s="103">
        <f>SUM(P28:P35)</f>
        <v>2225.5</v>
      </c>
      <c r="R36" s="30" t="s">
        <v>126</v>
      </c>
    </row>
    <row r="37" spans="1:18" ht="30.6" x14ac:dyDescent="0.25">
      <c r="A37" s="114" t="s">
        <v>126</v>
      </c>
      <c r="B37" s="122" t="s">
        <v>234</v>
      </c>
      <c r="C37" s="122" t="s">
        <v>235</v>
      </c>
      <c r="D37" s="117" t="s">
        <v>236</v>
      </c>
      <c r="E37" s="117">
        <v>1679</v>
      </c>
      <c r="F37" s="118">
        <v>5.0029779630732629E-2</v>
      </c>
      <c r="G37" s="117">
        <v>1595</v>
      </c>
      <c r="H37" s="118">
        <v>0.10005955926146515</v>
      </c>
      <c r="I37" s="117">
        <v>1511</v>
      </c>
      <c r="J37" s="118">
        <v>0.7</v>
      </c>
      <c r="K37" s="117" t="s">
        <v>205</v>
      </c>
      <c r="L37" s="117" t="s">
        <v>126</v>
      </c>
      <c r="M37" s="117"/>
      <c r="N37" s="119">
        <v>1</v>
      </c>
      <c r="O37" s="117">
        <f>UnitPrice*(1-Discount)</f>
        <v>503.7000000000001</v>
      </c>
      <c r="P37" s="120">
        <f>(NetPrice*Qty)+(Freight*Qty)</f>
        <v>503.7000000000001</v>
      </c>
    </row>
    <row r="38" spans="1:18" ht="57.6" hidden="1" x14ac:dyDescent="0.25">
      <c r="A38" s="113"/>
      <c r="B38" s="104"/>
      <c r="C38" s="111" t="s">
        <v>237</v>
      </c>
      <c r="D38" s="107"/>
      <c r="E38" s="107"/>
      <c r="F38" s="108"/>
      <c r="G38" s="107"/>
      <c r="H38" s="108"/>
      <c r="I38" s="107"/>
      <c r="J38" s="108"/>
      <c r="K38" s="107"/>
      <c r="L38" s="107"/>
      <c r="M38" s="107"/>
      <c r="N38" s="109"/>
      <c r="O38" s="107"/>
      <c r="P38" s="121"/>
    </row>
    <row r="39" spans="1:18" ht="20.399999999999999" x14ac:dyDescent="0.25">
      <c r="A39" s="113" t="s">
        <v>126</v>
      </c>
      <c r="B39" s="104" t="s">
        <v>238</v>
      </c>
      <c r="C39" s="104" t="s">
        <v>239</v>
      </c>
      <c r="D39" s="107" t="s">
        <v>236</v>
      </c>
      <c r="E39" s="107">
        <v>825</v>
      </c>
      <c r="F39" s="108">
        <v>4.9696969696969684E-2</v>
      </c>
      <c r="G39" s="107">
        <v>784</v>
      </c>
      <c r="H39" s="108">
        <v>0.10060606060606059</v>
      </c>
      <c r="I39" s="107">
        <v>742</v>
      </c>
      <c r="J39" s="108">
        <v>0.7</v>
      </c>
      <c r="K39" s="107" t="s">
        <v>205</v>
      </c>
      <c r="L39" s="107" t="s">
        <v>126</v>
      </c>
      <c r="M39" s="107"/>
      <c r="N39" s="109">
        <v>2</v>
      </c>
      <c r="O39" s="107">
        <f>UnitPrice*(1-Discount)</f>
        <v>247.50000000000003</v>
      </c>
      <c r="P39" s="121">
        <f>(NetPrice*Qty)+(Freight*Qty)</f>
        <v>495.00000000000006</v>
      </c>
    </row>
    <row r="40" spans="1:18" ht="57.6" hidden="1" x14ac:dyDescent="0.25">
      <c r="A40" s="113"/>
      <c r="B40" s="104"/>
      <c r="C40" s="111" t="s">
        <v>240</v>
      </c>
      <c r="D40" s="107"/>
      <c r="E40" s="107"/>
      <c r="F40" s="108"/>
      <c r="G40" s="107"/>
      <c r="H40" s="108"/>
      <c r="I40" s="107"/>
      <c r="J40" s="108"/>
      <c r="K40" s="107"/>
      <c r="L40" s="107"/>
      <c r="M40" s="107"/>
      <c r="N40" s="109"/>
      <c r="O40" s="107"/>
      <c r="P40" s="121"/>
    </row>
    <row r="41" spans="1:18" ht="30.6" x14ac:dyDescent="0.25">
      <c r="A41" s="113" t="s">
        <v>126</v>
      </c>
      <c r="B41" s="104" t="s">
        <v>241</v>
      </c>
      <c r="C41" s="104" t="s">
        <v>242</v>
      </c>
      <c r="D41" s="107" t="s">
        <v>236</v>
      </c>
      <c r="E41" s="107">
        <v>200</v>
      </c>
      <c r="F41" s="108">
        <v>5.0000000000000044E-2</v>
      </c>
      <c r="G41" s="107">
        <v>190</v>
      </c>
      <c r="H41" s="108">
        <v>9.9999999999999978E-2</v>
      </c>
      <c r="I41" s="107">
        <v>180</v>
      </c>
      <c r="J41" s="108">
        <v>0.7</v>
      </c>
      <c r="K41" s="107" t="s">
        <v>205</v>
      </c>
      <c r="L41" s="107" t="s">
        <v>126</v>
      </c>
      <c r="M41" s="107"/>
      <c r="N41" s="109">
        <v>1</v>
      </c>
      <c r="O41" s="107">
        <f>UnitPrice*(1-Discount)</f>
        <v>60.000000000000007</v>
      </c>
      <c r="P41" s="121">
        <f>(NetPrice*Qty)+(Freight*Qty)</f>
        <v>60.000000000000007</v>
      </c>
    </row>
    <row r="42" spans="1:18" ht="57.6" hidden="1" x14ac:dyDescent="0.25">
      <c r="A42" s="113"/>
      <c r="B42" s="104"/>
      <c r="C42" s="111" t="s">
        <v>243</v>
      </c>
      <c r="D42" s="107"/>
      <c r="E42" s="107"/>
      <c r="F42" s="108"/>
      <c r="G42" s="107"/>
      <c r="H42" s="108"/>
      <c r="I42" s="107"/>
      <c r="J42" s="108"/>
      <c r="K42" s="107"/>
      <c r="L42" s="107"/>
      <c r="M42" s="107"/>
      <c r="N42" s="109"/>
      <c r="O42" s="107"/>
      <c r="P42" s="121"/>
    </row>
    <row r="43" spans="1:18" x14ac:dyDescent="0.25">
      <c r="A43" s="122"/>
      <c r="B43" s="115" t="s">
        <v>266</v>
      </c>
      <c r="C43" s="123" t="s">
        <v>244</v>
      </c>
      <c r="D43" s="124"/>
      <c r="E43" s="124"/>
      <c r="F43" s="125"/>
      <c r="G43" s="124"/>
      <c r="H43" s="125"/>
      <c r="I43" s="124"/>
      <c r="J43" s="125"/>
      <c r="K43" s="124"/>
      <c r="L43" s="124"/>
      <c r="M43" s="124"/>
      <c r="N43" s="126"/>
      <c r="O43" s="124"/>
      <c r="P43" s="124"/>
      <c r="Q43" s="103">
        <f>SUM(P37:P42)</f>
        <v>1058.7000000000003</v>
      </c>
      <c r="R43" s="30" t="s">
        <v>126</v>
      </c>
    </row>
    <row r="44" spans="1:18" ht="20.399999999999999" x14ac:dyDescent="0.25">
      <c r="A44" s="114" t="s">
        <v>126</v>
      </c>
      <c r="B44" s="122" t="s">
        <v>245</v>
      </c>
      <c r="C44" s="122" t="s">
        <v>246</v>
      </c>
      <c r="D44" s="117" t="s">
        <v>247</v>
      </c>
      <c r="E44" s="117">
        <v>158</v>
      </c>
      <c r="F44" s="118">
        <v>5.0632911392405111E-2</v>
      </c>
      <c r="G44" s="117">
        <v>150</v>
      </c>
      <c r="H44" s="118">
        <v>0.10126582278481011</v>
      </c>
      <c r="I44" s="117">
        <v>142</v>
      </c>
      <c r="J44" s="118">
        <v>0.7</v>
      </c>
      <c r="K44" s="117" t="s">
        <v>205</v>
      </c>
      <c r="L44" s="117" t="s">
        <v>126</v>
      </c>
      <c r="M44" s="117"/>
      <c r="N44" s="119">
        <v>1</v>
      </c>
      <c r="O44" s="117">
        <f>UnitPrice*(1-Discount)</f>
        <v>47.400000000000006</v>
      </c>
      <c r="P44" s="120">
        <f>(NetPrice*Qty)+(Freight*Qty)</f>
        <v>47.400000000000006</v>
      </c>
    </row>
    <row r="45" spans="1:18" ht="19.2" hidden="1" x14ac:dyDescent="0.25">
      <c r="A45" s="113"/>
      <c r="B45" s="104"/>
      <c r="C45" s="111" t="s">
        <v>248</v>
      </c>
      <c r="D45" s="107"/>
      <c r="E45" s="107"/>
      <c r="F45" s="108"/>
      <c r="G45" s="107"/>
      <c r="H45" s="108"/>
      <c r="I45" s="107"/>
      <c r="J45" s="108"/>
      <c r="K45" s="107"/>
      <c r="L45" s="107"/>
      <c r="M45" s="107"/>
      <c r="N45" s="109"/>
      <c r="O45" s="107"/>
      <c r="P45" s="121"/>
    </row>
    <row r="46" spans="1:18" ht="30.6" x14ac:dyDescent="0.25">
      <c r="A46" s="113" t="s">
        <v>126</v>
      </c>
      <c r="B46" s="104" t="s">
        <v>249</v>
      </c>
      <c r="C46" s="104" t="s">
        <v>250</v>
      </c>
      <c r="D46" s="107" t="s">
        <v>247</v>
      </c>
      <c r="E46" s="107">
        <v>320</v>
      </c>
      <c r="F46" s="108">
        <v>5.0000000000000044E-2</v>
      </c>
      <c r="G46" s="107">
        <v>304</v>
      </c>
      <c r="H46" s="108">
        <v>9.9999999999999978E-2</v>
      </c>
      <c r="I46" s="107">
        <v>288</v>
      </c>
      <c r="J46" s="108">
        <v>0.7</v>
      </c>
      <c r="K46" s="107" t="s">
        <v>205</v>
      </c>
      <c r="L46" s="107" t="s">
        <v>126</v>
      </c>
      <c r="M46" s="107"/>
      <c r="N46" s="109">
        <v>2</v>
      </c>
      <c r="O46" s="107">
        <f>UnitPrice*(1-Discount)</f>
        <v>96.000000000000014</v>
      </c>
      <c r="P46" s="121">
        <f>(NetPrice*Qty)+(Freight*Qty)</f>
        <v>192.00000000000003</v>
      </c>
    </row>
    <row r="47" spans="1:18" ht="57.6" hidden="1" x14ac:dyDescent="0.25">
      <c r="A47" s="113"/>
      <c r="B47" s="104"/>
      <c r="C47" s="111" t="s">
        <v>251</v>
      </c>
      <c r="D47" s="107"/>
      <c r="E47" s="107"/>
      <c r="F47" s="108"/>
      <c r="G47" s="107"/>
      <c r="H47" s="108"/>
      <c r="I47" s="107"/>
      <c r="J47" s="108"/>
      <c r="K47" s="107"/>
      <c r="L47" s="107"/>
      <c r="M47" s="107"/>
      <c r="N47" s="109"/>
      <c r="O47" s="107"/>
      <c r="P47" s="121"/>
    </row>
    <row r="48" spans="1:18" x14ac:dyDescent="0.25">
      <c r="A48" s="122"/>
      <c r="B48" s="115" t="s">
        <v>266</v>
      </c>
      <c r="C48" s="123" t="s">
        <v>252</v>
      </c>
      <c r="D48" s="124"/>
      <c r="E48" s="124"/>
      <c r="F48" s="125"/>
      <c r="G48" s="124"/>
      <c r="H48" s="125"/>
      <c r="I48" s="124"/>
      <c r="J48" s="125"/>
      <c r="K48" s="124"/>
      <c r="L48" s="124"/>
      <c r="M48" s="124"/>
      <c r="N48" s="126"/>
      <c r="O48" s="124"/>
      <c r="P48" s="124"/>
      <c r="Q48" s="103">
        <f>SUM(P44:P47)</f>
        <v>239.40000000000003</v>
      </c>
      <c r="R48" s="30" t="s">
        <v>126</v>
      </c>
    </row>
    <row r="49" spans="1:21" hidden="1" x14ac:dyDescent="0.25"/>
    <row r="50" spans="1:21" ht="20.399999999999999" x14ac:dyDescent="0.25">
      <c r="A50" s="1" t="s">
        <v>126</v>
      </c>
      <c r="B50" s="93" t="s">
        <v>253</v>
      </c>
      <c r="C50" s="1" t="s">
        <v>192</v>
      </c>
      <c r="D50" s="30">
        <v>1</v>
      </c>
      <c r="P50" s="48" t="s">
        <v>254</v>
      </c>
      <c r="Q50" s="48">
        <f>SUM(Q8:Q49)</f>
        <v>13830.500000000002</v>
      </c>
    </row>
    <row r="51" spans="1:21" hidden="1" x14ac:dyDescent="0.25"/>
    <row r="52" spans="1:21" s="127" customFormat="1" ht="10.8" thickBot="1" x14ac:dyDescent="0.3">
      <c r="B52" s="132" t="s">
        <v>267</v>
      </c>
      <c r="C52" s="128"/>
      <c r="D52" s="129"/>
      <c r="E52" s="129"/>
      <c r="F52" s="130"/>
      <c r="G52" s="129"/>
      <c r="H52" s="130"/>
      <c r="I52" s="129"/>
      <c r="J52" s="130"/>
      <c r="K52" s="129"/>
      <c r="L52" s="129"/>
      <c r="M52" s="129"/>
      <c r="N52" s="131"/>
      <c r="O52" s="129"/>
      <c r="P52" s="129"/>
      <c r="Q52" s="129"/>
      <c r="R52" s="129"/>
      <c r="S52" s="129"/>
      <c r="T52" s="129"/>
      <c r="U52" s="129"/>
    </row>
    <row r="53" spans="1:21" ht="10.8" thickTop="1" x14ac:dyDescent="0.25">
      <c r="B53" s="133" t="s">
        <v>268</v>
      </c>
      <c r="C53" s="134"/>
      <c r="D53" s="135"/>
      <c r="E53" s="135"/>
      <c r="F53" s="136"/>
      <c r="G53" s="135"/>
      <c r="H53" s="136"/>
      <c r="I53" s="135"/>
      <c r="J53" s="136"/>
      <c r="K53" s="135"/>
      <c r="L53" s="135"/>
      <c r="M53" s="135"/>
      <c r="N53" s="137"/>
      <c r="O53" s="135"/>
      <c r="P53" s="135"/>
      <c r="Q53" s="138">
        <f>SUM(P8:P52)</f>
        <v>13830.500000000002</v>
      </c>
    </row>
    <row r="54" spans="1:21" hidden="1" x14ac:dyDescent="0.25"/>
    <row r="55" spans="1:21" hidden="1" x14ac:dyDescent="0.25"/>
    <row r="56" spans="1:21" x14ac:dyDescent="0.25">
      <c r="A56" s="39" t="s">
        <v>256</v>
      </c>
    </row>
    <row r="57" spans="1:21" x14ac:dyDescent="0.25">
      <c r="A57" s="39" t="s">
        <v>257</v>
      </c>
    </row>
    <row r="58" spans="1:21" ht="25.5" customHeight="1" x14ac:dyDescent="0.25">
      <c r="A58" s="91" t="s">
        <v>258</v>
      </c>
      <c r="B58" s="92"/>
      <c r="C58" s="92"/>
      <c r="D58" s="92"/>
      <c r="E58" s="92"/>
      <c r="F58" s="92"/>
    </row>
    <row r="59" spans="1:21" ht="25.5" customHeight="1" x14ac:dyDescent="0.25">
      <c r="A59" s="91" t="s">
        <v>54</v>
      </c>
      <c r="B59" s="92"/>
      <c r="C59" s="92"/>
      <c r="D59" s="92"/>
      <c r="E59" s="92"/>
      <c r="F59" s="92"/>
    </row>
  </sheetData>
  <mergeCells count="2">
    <mergeCell ref="A58:F58"/>
    <mergeCell ref="A59:F59"/>
  </mergeCells>
  <phoneticPr fontId="2" type="noConversion"/>
  <dataValidations count="1">
    <dataValidation type="list" allowBlank="1" showInputMessage="1" showErrorMessage="1" sqref="B1:B2" xr:uid="{00000000-0002-0000-0300-000000000000}">
      <formula1>UnitPriceColumnChoices</formula1>
    </dataValidation>
  </dataValidations>
  <printOptions horizontalCentered="1"/>
  <pageMargins left="0.5" right="0.5" top="0.5" bottom="0.5" header="0" footer="0"/>
  <pageSetup scale="53" fitToHeight="0" orientation="landscape" r:id="rId1"/>
  <headerFooter alignWithMargins="0">
    <oddFooter>&amp;LPrinted: &amp;D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5DE4-6250-4E53-8415-4DBB38150A00}">
  <sheetPr codeName="Sheet6">
    <pageSetUpPr fitToPage="1"/>
  </sheetPr>
  <dimension ref="A1:T55"/>
  <sheetViews>
    <sheetView tabSelected="1" workbookViewId="0">
      <selection activeCell="C10" sqref="C10"/>
    </sheetView>
  </sheetViews>
  <sheetFormatPr defaultColWidth="9.109375" defaultRowHeight="10.199999999999999" x14ac:dyDescent="0.25"/>
  <cols>
    <col min="1" max="1" width="10.33203125" style="1" customWidth="1"/>
    <col min="2" max="2" width="15.6640625" style="1" customWidth="1"/>
    <col min="3" max="3" width="40.6640625" style="89" customWidth="1"/>
    <col min="4" max="4" width="11.6640625" style="30" hidden="1" customWidth="1"/>
    <col min="5" max="5" width="11.6640625" style="30" customWidth="1"/>
    <col min="6" max="6" width="11.6640625" style="100" hidden="1" customWidth="1"/>
    <col min="7" max="7" width="11.6640625" style="30" hidden="1" customWidth="1"/>
    <col min="8" max="8" width="11.6640625" style="100" hidden="1" customWidth="1"/>
    <col min="9" max="9" width="11.6640625" style="30" hidden="1" customWidth="1"/>
    <col min="10" max="10" width="11.6640625" style="100" customWidth="1"/>
    <col min="11" max="12" width="11.6640625" style="30" hidden="1" customWidth="1"/>
    <col min="13" max="13" width="6.77734375" style="95" customWidth="1"/>
    <col min="14" max="16" width="11.6640625" style="30" customWidth="1"/>
    <col min="17" max="17" width="11.6640625" style="30" hidden="1" customWidth="1"/>
    <col min="18" max="20" width="11.6640625" style="30" customWidth="1"/>
    <col min="21" max="16384" width="9.109375" style="1"/>
  </cols>
  <sheetData>
    <row r="1" spans="1:20" ht="29.25" customHeight="1" x14ac:dyDescent="0.25">
      <c r="A1" s="37" t="s">
        <v>47</v>
      </c>
      <c r="B1" s="38" t="s">
        <v>36</v>
      </c>
      <c r="F1" s="139"/>
    </row>
    <row r="2" spans="1:20" ht="26.25" customHeight="1" x14ac:dyDescent="0.25">
      <c r="A2" s="37" t="s">
        <v>88</v>
      </c>
      <c r="B2" s="38" t="s">
        <v>64</v>
      </c>
      <c r="C2" s="1"/>
      <c r="D2" s="36"/>
      <c r="E2" s="36"/>
    </row>
    <row r="3" spans="1:20" x14ac:dyDescent="0.25">
      <c r="B3" s="8"/>
      <c r="C3" s="90"/>
      <c r="D3" s="36"/>
      <c r="E3" s="36"/>
    </row>
    <row r="4" spans="1:20" x14ac:dyDescent="0.25">
      <c r="A4" s="1" t="s">
        <v>262</v>
      </c>
      <c r="B4" s="8"/>
      <c r="C4" s="90"/>
      <c r="D4" s="36"/>
      <c r="E4" s="36"/>
    </row>
    <row r="5" spans="1:20" x14ac:dyDescent="0.25">
      <c r="A5" s="1" t="str">
        <f>QuoteNumber</f>
        <v>2025-404752</v>
      </c>
      <c r="B5" s="8"/>
      <c r="C5" s="90"/>
      <c r="D5" s="36"/>
      <c r="E5" s="36"/>
    </row>
    <row r="6" spans="1:20" x14ac:dyDescent="0.25">
      <c r="B6" s="8"/>
      <c r="C6" s="90"/>
    </row>
    <row r="7" spans="1:20" s="47" customFormat="1" ht="30.6" x14ac:dyDescent="0.25">
      <c r="A7" s="97"/>
      <c r="B7" s="97" t="s">
        <v>174</v>
      </c>
      <c r="C7" s="97" t="s">
        <v>175</v>
      </c>
      <c r="D7" s="98" t="s">
        <v>176</v>
      </c>
      <c r="E7" s="98" t="s">
        <v>261</v>
      </c>
      <c r="F7" s="101" t="s">
        <v>178</v>
      </c>
      <c r="G7" s="98" t="s">
        <v>179</v>
      </c>
      <c r="H7" s="101" t="s">
        <v>180</v>
      </c>
      <c r="I7" s="98" t="s">
        <v>181</v>
      </c>
      <c r="J7" s="101" t="s">
        <v>265</v>
      </c>
      <c r="K7" s="98" t="s">
        <v>183</v>
      </c>
      <c r="L7" s="98" t="s">
        <v>185</v>
      </c>
      <c r="M7" s="99" t="s">
        <v>186</v>
      </c>
      <c r="N7" s="98" t="s">
        <v>263</v>
      </c>
      <c r="O7" s="98" t="s">
        <v>264</v>
      </c>
      <c r="P7" s="98" t="s">
        <v>189</v>
      </c>
      <c r="Q7" s="48"/>
      <c r="R7" s="48"/>
      <c r="S7" s="48"/>
      <c r="T7" s="48"/>
    </row>
    <row r="8" spans="1:20" s="19" customFormat="1" x14ac:dyDescent="0.25">
      <c r="B8" s="19" t="s">
        <v>191</v>
      </c>
      <c r="C8" s="94" t="s">
        <v>192</v>
      </c>
      <c r="D8" s="31">
        <v>1</v>
      </c>
      <c r="E8" s="31"/>
      <c r="F8" s="102"/>
      <c r="G8" s="31"/>
      <c r="H8" s="102"/>
      <c r="I8" s="31"/>
      <c r="J8" s="102"/>
      <c r="K8" s="31"/>
      <c r="L8" s="31">
        <v>0</v>
      </c>
      <c r="M8" s="96">
        <v>1</v>
      </c>
      <c r="N8" s="31"/>
      <c r="O8" s="31"/>
      <c r="P8" s="31"/>
      <c r="Q8" s="31"/>
      <c r="R8" s="31"/>
      <c r="S8" s="31"/>
      <c r="T8" s="31"/>
    </row>
    <row r="9" spans="1:20" x14ac:dyDescent="0.25">
      <c r="A9" s="114"/>
      <c r="B9" s="115" t="s">
        <v>193</v>
      </c>
      <c r="C9" s="116" t="s">
        <v>194</v>
      </c>
      <c r="D9" s="117"/>
      <c r="E9" s="117"/>
      <c r="F9" s="118"/>
      <c r="G9" s="117"/>
      <c r="H9" s="118"/>
      <c r="I9" s="117"/>
      <c r="J9" s="118"/>
      <c r="K9" s="117"/>
      <c r="L9" s="117"/>
      <c r="M9" s="119"/>
      <c r="N9" s="117"/>
      <c r="O9" s="120"/>
    </row>
    <row r="10" spans="1:20" hidden="1" x14ac:dyDescent="0.25">
      <c r="A10" s="113"/>
      <c r="B10" s="105" t="s">
        <v>195</v>
      </c>
      <c r="C10" s="106" t="s">
        <v>196</v>
      </c>
      <c r="D10" s="107"/>
      <c r="E10" s="107"/>
      <c r="F10" s="108"/>
      <c r="G10" s="107"/>
      <c r="H10" s="108"/>
      <c r="I10" s="107"/>
      <c r="J10" s="108"/>
      <c r="K10" s="107"/>
      <c r="L10" s="107"/>
      <c r="M10" s="109"/>
      <c r="N10" s="107"/>
      <c r="O10" s="121"/>
    </row>
    <row r="11" spans="1:20" x14ac:dyDescent="0.25">
      <c r="A11" s="113"/>
      <c r="B11" s="105" t="s">
        <v>197</v>
      </c>
      <c r="C11" s="106"/>
      <c r="D11" s="107"/>
      <c r="E11" s="107"/>
      <c r="F11" s="108"/>
      <c r="G11" s="107"/>
      <c r="H11" s="108"/>
      <c r="I11" s="107"/>
      <c r="J11" s="108"/>
      <c r="K11" s="107"/>
      <c r="L11" s="107"/>
      <c r="M11" s="109"/>
      <c r="N11" s="107"/>
      <c r="O11" s="121"/>
    </row>
    <row r="12" spans="1:20" x14ac:dyDescent="0.25">
      <c r="A12" s="113"/>
      <c r="B12" s="105" t="s">
        <v>184</v>
      </c>
      <c r="C12" s="110"/>
      <c r="D12" s="107"/>
      <c r="E12" s="107"/>
      <c r="F12" s="108"/>
      <c r="G12" s="107"/>
      <c r="H12" s="108"/>
      <c r="I12" s="107"/>
      <c r="J12" s="108"/>
      <c r="K12" s="107"/>
      <c r="L12" s="107"/>
      <c r="M12" s="109"/>
      <c r="N12" s="107"/>
      <c r="O12" s="121"/>
    </row>
    <row r="13" spans="1:20" hidden="1" x14ac:dyDescent="0.25">
      <c r="A13" s="113" t="s">
        <v>126</v>
      </c>
      <c r="B13" s="104" t="s">
        <v>126</v>
      </c>
      <c r="C13" s="111"/>
      <c r="D13" s="107"/>
      <c r="E13" s="107"/>
      <c r="F13" s="108"/>
      <c r="G13" s="107"/>
      <c r="H13" s="108"/>
      <c r="I13" s="107"/>
      <c r="J13" s="108"/>
      <c r="K13" s="107"/>
      <c r="L13" s="107"/>
      <c r="M13" s="109"/>
      <c r="N13" s="107"/>
      <c r="O13" s="121"/>
    </row>
    <row r="14" spans="1:20" hidden="1" x14ac:dyDescent="0.25">
      <c r="A14" s="113" t="s">
        <v>126</v>
      </c>
      <c r="B14" s="105" t="s">
        <v>200</v>
      </c>
      <c r="C14" s="106" t="s">
        <v>201</v>
      </c>
      <c r="D14" s="107"/>
      <c r="E14" s="107"/>
      <c r="F14" s="108"/>
      <c r="G14" s="107"/>
      <c r="H14" s="108"/>
      <c r="I14" s="107"/>
      <c r="J14" s="108"/>
      <c r="K14" s="107"/>
      <c r="L14" s="107"/>
      <c r="M14" s="109"/>
      <c r="N14" s="107"/>
      <c r="O14" s="121"/>
    </row>
    <row r="15" spans="1:20" ht="30.6" x14ac:dyDescent="0.25">
      <c r="A15" s="113" t="s">
        <v>126</v>
      </c>
      <c r="B15" s="104" t="s">
        <v>202</v>
      </c>
      <c r="C15" s="104" t="s">
        <v>203</v>
      </c>
      <c r="D15" s="107" t="s">
        <v>204</v>
      </c>
      <c r="E15" s="107">
        <v>4031</v>
      </c>
      <c r="F15" s="108">
        <v>0.35003721161002233</v>
      </c>
      <c r="G15" s="107">
        <v>2620</v>
      </c>
      <c r="H15" s="108">
        <v>0.4500124038700074</v>
      </c>
      <c r="I15" s="107">
        <v>2217</v>
      </c>
      <c r="J15" s="108">
        <v>0.44999999999999996</v>
      </c>
      <c r="K15" s="107" t="s">
        <v>205</v>
      </c>
      <c r="L15" s="107"/>
      <c r="M15" s="109">
        <v>1</v>
      </c>
      <c r="N15" s="107">
        <f>UnitPrice*(1-Discount)</f>
        <v>2217.0500000000002</v>
      </c>
      <c r="O15" s="121">
        <f>(NetPrice*Qty)+(Freight*Qty)</f>
        <v>2217.0500000000002</v>
      </c>
    </row>
    <row r="16" spans="1:20" ht="220.8" hidden="1" x14ac:dyDescent="0.25">
      <c r="A16" s="113"/>
      <c r="B16" s="104"/>
      <c r="C16" s="111" t="s">
        <v>206</v>
      </c>
      <c r="D16" s="107"/>
      <c r="E16" s="107"/>
      <c r="F16" s="108"/>
      <c r="G16" s="107"/>
      <c r="H16" s="108"/>
      <c r="I16" s="107"/>
      <c r="J16" s="108"/>
      <c r="K16" s="107"/>
      <c r="L16" s="107"/>
      <c r="M16" s="109"/>
      <c r="N16" s="107"/>
      <c r="O16" s="121"/>
    </row>
    <row r="17" spans="1:17" ht="20.399999999999999" x14ac:dyDescent="0.25">
      <c r="A17" s="113" t="s">
        <v>126</v>
      </c>
      <c r="B17" s="112" t="s">
        <v>207</v>
      </c>
      <c r="C17" s="104" t="s">
        <v>208</v>
      </c>
      <c r="D17" s="107" t="s">
        <v>204</v>
      </c>
      <c r="E17" s="107">
        <v>6500</v>
      </c>
      <c r="F17" s="108">
        <v>0.35</v>
      </c>
      <c r="G17" s="107">
        <v>4225</v>
      </c>
      <c r="H17" s="108">
        <v>0.44999999999999996</v>
      </c>
      <c r="I17" s="107">
        <v>3575</v>
      </c>
      <c r="J17" s="108">
        <v>0.44999999999999996</v>
      </c>
      <c r="K17" s="107" t="s">
        <v>205</v>
      </c>
      <c r="L17" s="107"/>
      <c r="M17" s="109">
        <v>2</v>
      </c>
      <c r="N17" s="107">
        <f>UnitPrice*(1-Discount)</f>
        <v>3575.0000000000005</v>
      </c>
      <c r="O17" s="121">
        <f>(NetPrice*Qty)+(Freight*Qty)</f>
        <v>7150.0000000000009</v>
      </c>
    </row>
    <row r="18" spans="1:17" ht="57.6" hidden="1" x14ac:dyDescent="0.25">
      <c r="A18" s="113"/>
      <c r="B18" s="104"/>
      <c r="C18" s="111" t="s">
        <v>209</v>
      </c>
      <c r="D18" s="107"/>
      <c r="E18" s="107"/>
      <c r="F18" s="108"/>
      <c r="G18" s="107"/>
      <c r="H18" s="108"/>
      <c r="I18" s="107"/>
      <c r="J18" s="108"/>
      <c r="K18" s="107"/>
      <c r="L18" s="107"/>
      <c r="M18" s="109"/>
      <c r="N18" s="107"/>
      <c r="O18" s="121"/>
    </row>
    <row r="19" spans="1:17" ht="20.399999999999999" x14ac:dyDescent="0.25">
      <c r="A19" s="113" t="s">
        <v>126</v>
      </c>
      <c r="B19" s="104" t="s">
        <v>210</v>
      </c>
      <c r="C19" s="104" t="s">
        <v>211</v>
      </c>
      <c r="D19" s="107" t="s">
        <v>204</v>
      </c>
      <c r="E19" s="107">
        <v>231</v>
      </c>
      <c r="F19" s="108">
        <v>0.35064935064935066</v>
      </c>
      <c r="G19" s="107">
        <v>150</v>
      </c>
      <c r="H19" s="108">
        <v>0.45021645021645018</v>
      </c>
      <c r="I19" s="107">
        <v>127</v>
      </c>
      <c r="J19" s="108">
        <v>1</v>
      </c>
      <c r="K19" s="107" t="s">
        <v>205</v>
      </c>
      <c r="L19" s="107"/>
      <c r="M19" s="109">
        <v>1</v>
      </c>
      <c r="N19" s="107">
        <f>UnitPrice*(1-Discount)</f>
        <v>0</v>
      </c>
      <c r="O19" s="121">
        <f>(NetPrice*Qty)+(Freight*Qty)</f>
        <v>0</v>
      </c>
    </row>
    <row r="20" spans="1:17" hidden="1" x14ac:dyDescent="0.25">
      <c r="A20" s="113"/>
      <c r="B20" s="104"/>
      <c r="C20" s="111" t="s">
        <v>126</v>
      </c>
      <c r="D20" s="107"/>
      <c r="E20" s="107"/>
      <c r="F20" s="108"/>
      <c r="G20" s="107"/>
      <c r="H20" s="108"/>
      <c r="I20" s="107"/>
      <c r="J20" s="108"/>
      <c r="K20" s="107"/>
      <c r="L20" s="107"/>
      <c r="M20" s="109"/>
      <c r="N20" s="107"/>
      <c r="O20" s="121"/>
    </row>
    <row r="21" spans="1:17" ht="20.399999999999999" x14ac:dyDescent="0.25">
      <c r="A21" s="113" t="s">
        <v>126</v>
      </c>
      <c r="B21" s="104" t="s">
        <v>212</v>
      </c>
      <c r="C21" s="104" t="s">
        <v>213</v>
      </c>
      <c r="D21" s="107" t="s">
        <v>204</v>
      </c>
      <c r="E21" s="107">
        <v>525</v>
      </c>
      <c r="F21" s="108">
        <v>0.3504761904761905</v>
      </c>
      <c r="G21" s="107">
        <v>341</v>
      </c>
      <c r="H21" s="108">
        <v>0.44952380952380955</v>
      </c>
      <c r="I21" s="107">
        <v>289</v>
      </c>
      <c r="J21" s="108">
        <v>0.44999999999999996</v>
      </c>
      <c r="K21" s="107" t="s">
        <v>205</v>
      </c>
      <c r="L21" s="107"/>
      <c r="M21" s="109">
        <v>1</v>
      </c>
      <c r="N21" s="107">
        <f>UnitPrice*(1-Discount)</f>
        <v>288.75</v>
      </c>
      <c r="O21" s="121">
        <f>(NetPrice*Qty)+(Freight*Qty)</f>
        <v>288.75</v>
      </c>
    </row>
    <row r="22" spans="1:17" ht="76.8" hidden="1" x14ac:dyDescent="0.25">
      <c r="A22" s="113"/>
      <c r="B22" s="104"/>
      <c r="C22" s="111" t="s">
        <v>214</v>
      </c>
      <c r="D22" s="107"/>
      <c r="E22" s="107"/>
      <c r="F22" s="108"/>
      <c r="G22" s="107"/>
      <c r="H22" s="108"/>
      <c r="I22" s="107"/>
      <c r="J22" s="108"/>
      <c r="K22" s="107"/>
      <c r="L22" s="107"/>
      <c r="M22" s="109"/>
      <c r="N22" s="107"/>
      <c r="O22" s="121"/>
    </row>
    <row r="23" spans="1:17" ht="20.399999999999999" x14ac:dyDescent="0.25">
      <c r="A23" s="113" t="s">
        <v>126</v>
      </c>
      <c r="B23" s="104" t="s">
        <v>215</v>
      </c>
      <c r="C23" s="104" t="s">
        <v>216</v>
      </c>
      <c r="D23" s="107" t="s">
        <v>204</v>
      </c>
      <c r="E23" s="107">
        <v>319</v>
      </c>
      <c r="F23" s="108">
        <v>0.2507836990595611</v>
      </c>
      <c r="G23" s="107">
        <v>239</v>
      </c>
      <c r="H23" s="108">
        <v>0.45141065830721006</v>
      </c>
      <c r="I23" s="107">
        <v>175</v>
      </c>
      <c r="J23" s="108">
        <v>0.45000000000000007</v>
      </c>
      <c r="K23" s="107" t="s">
        <v>205</v>
      </c>
      <c r="L23" s="107"/>
      <c r="M23" s="109">
        <v>2</v>
      </c>
      <c r="N23" s="107">
        <f>UnitPrice*(1-Discount)</f>
        <v>175.45</v>
      </c>
      <c r="O23" s="121">
        <f>(NetPrice*Qty)+(Freight*Qty)</f>
        <v>350.9</v>
      </c>
    </row>
    <row r="24" spans="1:17" hidden="1" x14ac:dyDescent="0.25">
      <c r="A24" s="113"/>
      <c r="B24" s="104"/>
      <c r="C24" s="111" t="s">
        <v>126</v>
      </c>
      <c r="D24" s="107"/>
      <c r="E24" s="107"/>
      <c r="F24" s="108"/>
      <c r="G24" s="107"/>
      <c r="H24" s="108"/>
      <c r="I24" s="107"/>
      <c r="J24" s="108"/>
      <c r="K24" s="107"/>
      <c r="L24" s="107"/>
      <c r="M24" s="109"/>
      <c r="N24" s="107"/>
      <c r="O24" s="121"/>
    </row>
    <row r="25" spans="1:17" x14ac:dyDescent="0.25">
      <c r="A25" s="113" t="s">
        <v>126</v>
      </c>
      <c r="B25" s="104" t="s">
        <v>217</v>
      </c>
      <c r="C25" s="104" t="s">
        <v>218</v>
      </c>
      <c r="D25" s="107" t="s">
        <v>204</v>
      </c>
      <c r="E25" s="107">
        <v>300.2</v>
      </c>
      <c r="F25" s="108">
        <v>0</v>
      </c>
      <c r="G25" s="107">
        <v>300.2</v>
      </c>
      <c r="H25" s="108">
        <v>0</v>
      </c>
      <c r="I25" s="107">
        <v>300.2</v>
      </c>
      <c r="J25" s="108">
        <v>0</v>
      </c>
      <c r="K25" s="107" t="s">
        <v>205</v>
      </c>
      <c r="L25" s="107"/>
      <c r="M25" s="109">
        <v>1</v>
      </c>
      <c r="N25" s="107">
        <f>UnitPrice*(1-Discount)</f>
        <v>300.2</v>
      </c>
      <c r="O25" s="121">
        <f>(NetPrice*Qty)+(Freight*Qty)</f>
        <v>300.2</v>
      </c>
    </row>
    <row r="26" spans="1:17" hidden="1" x14ac:dyDescent="0.25">
      <c r="A26" s="113"/>
      <c r="B26" s="104"/>
      <c r="C26" s="111" t="s">
        <v>126</v>
      </c>
      <c r="D26" s="107"/>
      <c r="E26" s="107"/>
      <c r="F26" s="108"/>
      <c r="G26" s="107"/>
      <c r="H26" s="108"/>
      <c r="I26" s="107"/>
      <c r="J26" s="108"/>
      <c r="K26" s="107"/>
      <c r="L26" s="107"/>
      <c r="M26" s="109"/>
      <c r="N26" s="107"/>
      <c r="O26" s="121"/>
    </row>
    <row r="27" spans="1:17" x14ac:dyDescent="0.25">
      <c r="A27" s="122"/>
      <c r="B27" s="115" t="s">
        <v>266</v>
      </c>
      <c r="C27" s="123" t="s">
        <v>219</v>
      </c>
      <c r="D27" s="124"/>
      <c r="E27" s="124"/>
      <c r="F27" s="125"/>
      <c r="G27" s="124"/>
      <c r="H27" s="125"/>
      <c r="I27" s="124"/>
      <c r="J27" s="125"/>
      <c r="K27" s="124"/>
      <c r="L27" s="124"/>
      <c r="M27" s="126"/>
      <c r="N27" s="124"/>
      <c r="O27" s="124"/>
      <c r="P27" s="103">
        <f>SUM(O9:O26)</f>
        <v>10306.900000000001</v>
      </c>
      <c r="Q27" s="30" t="s">
        <v>126</v>
      </c>
    </row>
    <row r="28" spans="1:17" ht="20.399999999999999" x14ac:dyDescent="0.25">
      <c r="A28" s="114" t="s">
        <v>126</v>
      </c>
      <c r="B28" s="122" t="s">
        <v>220</v>
      </c>
      <c r="C28" s="122" t="s">
        <v>221</v>
      </c>
      <c r="D28" s="117" t="s">
        <v>222</v>
      </c>
      <c r="E28" s="117">
        <v>1251</v>
      </c>
      <c r="F28" s="118">
        <v>0.35011990407673865</v>
      </c>
      <c r="G28" s="117">
        <v>813</v>
      </c>
      <c r="H28" s="118">
        <v>0.45003996802557955</v>
      </c>
      <c r="I28" s="117">
        <v>688</v>
      </c>
      <c r="J28" s="118">
        <v>0.5</v>
      </c>
      <c r="K28" s="117" t="s">
        <v>205</v>
      </c>
      <c r="L28" s="117"/>
      <c r="M28" s="119">
        <v>1</v>
      </c>
      <c r="N28" s="117">
        <f>UnitPrice*(1-Discount)</f>
        <v>625.5</v>
      </c>
      <c r="O28" s="120">
        <f>(NetPrice*Qty)+(Freight*Qty)</f>
        <v>625.5</v>
      </c>
    </row>
    <row r="29" spans="1:17" ht="48" hidden="1" x14ac:dyDescent="0.25">
      <c r="A29" s="113"/>
      <c r="B29" s="104"/>
      <c r="C29" s="111" t="s">
        <v>223</v>
      </c>
      <c r="D29" s="107"/>
      <c r="E29" s="107"/>
      <c r="F29" s="108"/>
      <c r="G29" s="107"/>
      <c r="H29" s="108"/>
      <c r="I29" s="107"/>
      <c r="J29" s="108"/>
      <c r="K29" s="107"/>
      <c r="L29" s="107"/>
      <c r="M29" s="109"/>
      <c r="N29" s="107"/>
      <c r="O29" s="121"/>
    </row>
    <row r="30" spans="1:17" x14ac:dyDescent="0.25">
      <c r="A30" s="113" t="s">
        <v>126</v>
      </c>
      <c r="B30" s="104" t="s">
        <v>224</v>
      </c>
      <c r="C30" s="104" t="s">
        <v>225</v>
      </c>
      <c r="D30" s="107" t="s">
        <v>222</v>
      </c>
      <c r="E30" s="107">
        <v>3000</v>
      </c>
      <c r="F30" s="108">
        <v>0.35</v>
      </c>
      <c r="G30" s="107">
        <v>1950</v>
      </c>
      <c r="H30" s="108">
        <v>0.44999999999999996</v>
      </c>
      <c r="I30" s="107">
        <v>1650</v>
      </c>
      <c r="J30" s="108">
        <v>1</v>
      </c>
      <c r="K30" s="107" t="s">
        <v>205</v>
      </c>
      <c r="L30" s="107"/>
      <c r="M30" s="109">
        <v>1</v>
      </c>
      <c r="N30" s="107">
        <f>UnitPrice*(1-Discount)</f>
        <v>0</v>
      </c>
      <c r="O30" s="121">
        <f>(NetPrice*Qty)+(Freight*Qty)</f>
        <v>0</v>
      </c>
    </row>
    <row r="31" spans="1:17" ht="48" hidden="1" x14ac:dyDescent="0.25">
      <c r="A31" s="113"/>
      <c r="B31" s="104"/>
      <c r="C31" s="111" t="s">
        <v>226</v>
      </c>
      <c r="D31" s="107"/>
      <c r="E31" s="107"/>
      <c r="F31" s="108"/>
      <c r="G31" s="107"/>
      <c r="H31" s="108"/>
      <c r="I31" s="107"/>
      <c r="J31" s="108"/>
      <c r="K31" s="107"/>
      <c r="L31" s="107"/>
      <c r="M31" s="109"/>
      <c r="N31" s="107"/>
      <c r="O31" s="121"/>
    </row>
    <row r="32" spans="1:17" x14ac:dyDescent="0.25">
      <c r="A32" s="113" t="s">
        <v>126</v>
      </c>
      <c r="B32" s="104" t="s">
        <v>227</v>
      </c>
      <c r="C32" s="104" t="s">
        <v>228</v>
      </c>
      <c r="D32" s="107" t="s">
        <v>222</v>
      </c>
      <c r="E32" s="107">
        <v>6338</v>
      </c>
      <c r="F32" s="108">
        <v>0.34995266645629541</v>
      </c>
      <c r="G32" s="107">
        <v>4120</v>
      </c>
      <c r="H32" s="108">
        <v>0.44998422215209843</v>
      </c>
      <c r="I32" s="107">
        <v>3486</v>
      </c>
      <c r="J32" s="108">
        <v>1</v>
      </c>
      <c r="K32" s="107" t="s">
        <v>205</v>
      </c>
      <c r="L32" s="107"/>
      <c r="M32" s="109">
        <v>1</v>
      </c>
      <c r="N32" s="107">
        <f>UnitPrice*(1-Discount)</f>
        <v>0</v>
      </c>
      <c r="O32" s="121">
        <f>(NetPrice*Qty)+(Freight*Qty)</f>
        <v>0</v>
      </c>
    </row>
    <row r="33" spans="1:17" ht="76.8" hidden="1" x14ac:dyDescent="0.25">
      <c r="A33" s="113"/>
      <c r="B33" s="104"/>
      <c r="C33" s="111" t="s">
        <v>229</v>
      </c>
      <c r="D33" s="107"/>
      <c r="E33" s="107"/>
      <c r="F33" s="108"/>
      <c r="G33" s="107"/>
      <c r="H33" s="108"/>
      <c r="I33" s="107"/>
      <c r="J33" s="108"/>
      <c r="K33" s="107"/>
      <c r="L33" s="107"/>
      <c r="M33" s="109"/>
      <c r="N33" s="107"/>
      <c r="O33" s="121"/>
    </row>
    <row r="34" spans="1:17" ht="20.399999999999999" x14ac:dyDescent="0.25">
      <c r="A34" s="113" t="s">
        <v>126</v>
      </c>
      <c r="B34" s="104" t="s">
        <v>230</v>
      </c>
      <c r="C34" s="104" t="s">
        <v>231</v>
      </c>
      <c r="D34" s="107" t="s">
        <v>222</v>
      </c>
      <c r="E34" s="107">
        <v>1600</v>
      </c>
      <c r="F34" s="108">
        <v>0.35</v>
      </c>
      <c r="G34" s="107">
        <v>1040</v>
      </c>
      <c r="H34" s="108">
        <v>0.44999999999999996</v>
      </c>
      <c r="I34" s="107">
        <v>880</v>
      </c>
      <c r="J34" s="108">
        <v>0.5</v>
      </c>
      <c r="K34" s="107" t="s">
        <v>205</v>
      </c>
      <c r="L34" s="107"/>
      <c r="M34" s="109">
        <v>2</v>
      </c>
      <c r="N34" s="107">
        <f>UnitPrice*(1-Discount)</f>
        <v>800</v>
      </c>
      <c r="O34" s="121">
        <f>(NetPrice*Qty)+(Freight*Qty)</f>
        <v>1600</v>
      </c>
    </row>
    <row r="35" spans="1:17" ht="249.6" hidden="1" x14ac:dyDescent="0.25">
      <c r="A35" s="113"/>
      <c r="B35" s="104"/>
      <c r="C35" s="111" t="s">
        <v>232</v>
      </c>
      <c r="D35" s="107"/>
      <c r="E35" s="107"/>
      <c r="F35" s="108"/>
      <c r="G35" s="107"/>
      <c r="H35" s="108"/>
      <c r="I35" s="107"/>
      <c r="J35" s="108"/>
      <c r="K35" s="107"/>
      <c r="L35" s="107"/>
      <c r="M35" s="109"/>
      <c r="N35" s="107"/>
      <c r="O35" s="121"/>
    </row>
    <row r="36" spans="1:17" x14ac:dyDescent="0.25">
      <c r="A36" s="122"/>
      <c r="B36" s="115" t="s">
        <v>266</v>
      </c>
      <c r="C36" s="123" t="s">
        <v>233</v>
      </c>
      <c r="D36" s="124"/>
      <c r="E36" s="124"/>
      <c r="F36" s="125"/>
      <c r="G36" s="124"/>
      <c r="H36" s="125"/>
      <c r="I36" s="124"/>
      <c r="J36" s="125"/>
      <c r="K36" s="124"/>
      <c r="L36" s="124"/>
      <c r="M36" s="126"/>
      <c r="N36" s="124"/>
      <c r="O36" s="124"/>
      <c r="P36" s="103">
        <f>SUM(O28:O35)</f>
        <v>2225.5</v>
      </c>
      <c r="Q36" s="30" t="s">
        <v>126</v>
      </c>
    </row>
    <row r="37" spans="1:17" ht="30.6" x14ac:dyDescent="0.25">
      <c r="A37" s="114" t="s">
        <v>126</v>
      </c>
      <c r="B37" s="122" t="s">
        <v>234</v>
      </c>
      <c r="C37" s="122" t="s">
        <v>235</v>
      </c>
      <c r="D37" s="117" t="s">
        <v>236</v>
      </c>
      <c r="E37" s="117">
        <v>1679</v>
      </c>
      <c r="F37" s="118">
        <v>5.0029779630732629E-2</v>
      </c>
      <c r="G37" s="117">
        <v>1595</v>
      </c>
      <c r="H37" s="118">
        <v>0.10005955926146515</v>
      </c>
      <c r="I37" s="117">
        <v>1511</v>
      </c>
      <c r="J37" s="118">
        <v>0.7</v>
      </c>
      <c r="K37" s="117" t="s">
        <v>205</v>
      </c>
      <c r="L37" s="117"/>
      <c r="M37" s="119">
        <v>1</v>
      </c>
      <c r="N37" s="117">
        <f>UnitPrice*(1-Discount)</f>
        <v>503.7000000000001</v>
      </c>
      <c r="O37" s="120">
        <f>(NetPrice*Qty)+(Freight*Qty)</f>
        <v>503.7000000000001</v>
      </c>
    </row>
    <row r="38" spans="1:17" ht="57.6" hidden="1" x14ac:dyDescent="0.25">
      <c r="A38" s="113"/>
      <c r="B38" s="104"/>
      <c r="C38" s="111" t="s">
        <v>237</v>
      </c>
      <c r="D38" s="107"/>
      <c r="E38" s="107"/>
      <c r="F38" s="108"/>
      <c r="G38" s="107"/>
      <c r="H38" s="108"/>
      <c r="I38" s="107"/>
      <c r="J38" s="108"/>
      <c r="K38" s="107"/>
      <c r="L38" s="107"/>
      <c r="M38" s="109"/>
      <c r="N38" s="107"/>
      <c r="O38" s="121"/>
    </row>
    <row r="39" spans="1:17" ht="20.399999999999999" x14ac:dyDescent="0.25">
      <c r="A39" s="113" t="s">
        <v>126</v>
      </c>
      <c r="B39" s="104" t="s">
        <v>238</v>
      </c>
      <c r="C39" s="104" t="s">
        <v>239</v>
      </c>
      <c r="D39" s="107" t="s">
        <v>236</v>
      </c>
      <c r="E39" s="107">
        <v>825</v>
      </c>
      <c r="F39" s="108">
        <v>4.9696969696969684E-2</v>
      </c>
      <c r="G39" s="107">
        <v>784</v>
      </c>
      <c r="H39" s="108">
        <v>0.10060606060606059</v>
      </c>
      <c r="I39" s="107">
        <v>742</v>
      </c>
      <c r="J39" s="108">
        <v>0.7</v>
      </c>
      <c r="K39" s="107" t="s">
        <v>205</v>
      </c>
      <c r="L39" s="107"/>
      <c r="M39" s="109">
        <v>2</v>
      </c>
      <c r="N39" s="107">
        <f>UnitPrice*(1-Discount)</f>
        <v>247.50000000000003</v>
      </c>
      <c r="O39" s="121">
        <f>(NetPrice*Qty)+(Freight*Qty)</f>
        <v>495.00000000000006</v>
      </c>
    </row>
    <row r="40" spans="1:17" ht="57.6" hidden="1" x14ac:dyDescent="0.25">
      <c r="A40" s="113"/>
      <c r="B40" s="104"/>
      <c r="C40" s="111" t="s">
        <v>240</v>
      </c>
      <c r="D40" s="107"/>
      <c r="E40" s="107"/>
      <c r="F40" s="108"/>
      <c r="G40" s="107"/>
      <c r="H40" s="108"/>
      <c r="I40" s="107"/>
      <c r="J40" s="108"/>
      <c r="K40" s="107"/>
      <c r="L40" s="107"/>
      <c r="M40" s="109"/>
      <c r="N40" s="107"/>
      <c r="O40" s="121"/>
    </row>
    <row r="41" spans="1:17" ht="30.6" x14ac:dyDescent="0.25">
      <c r="A41" s="113" t="s">
        <v>126</v>
      </c>
      <c r="B41" s="104" t="s">
        <v>241</v>
      </c>
      <c r="C41" s="104" t="s">
        <v>242</v>
      </c>
      <c r="D41" s="107" t="s">
        <v>236</v>
      </c>
      <c r="E41" s="107">
        <v>200</v>
      </c>
      <c r="F41" s="108">
        <v>5.0000000000000044E-2</v>
      </c>
      <c r="G41" s="107">
        <v>190</v>
      </c>
      <c r="H41" s="108">
        <v>9.9999999999999978E-2</v>
      </c>
      <c r="I41" s="107">
        <v>180</v>
      </c>
      <c r="J41" s="108">
        <v>0.7</v>
      </c>
      <c r="K41" s="107" t="s">
        <v>205</v>
      </c>
      <c r="L41" s="107"/>
      <c r="M41" s="109">
        <v>1</v>
      </c>
      <c r="N41" s="107">
        <f>UnitPrice*(1-Discount)</f>
        <v>60.000000000000007</v>
      </c>
      <c r="O41" s="121">
        <f>(NetPrice*Qty)+(Freight*Qty)</f>
        <v>60.000000000000007</v>
      </c>
    </row>
    <row r="42" spans="1:17" ht="57.6" hidden="1" x14ac:dyDescent="0.25">
      <c r="A42" s="113"/>
      <c r="B42" s="104"/>
      <c r="C42" s="111" t="s">
        <v>243</v>
      </c>
      <c r="D42" s="107"/>
      <c r="E42" s="107"/>
      <c r="F42" s="108"/>
      <c r="G42" s="107"/>
      <c r="H42" s="108"/>
      <c r="I42" s="107"/>
      <c r="J42" s="108"/>
      <c r="K42" s="107"/>
      <c r="L42" s="107"/>
      <c r="M42" s="109"/>
      <c r="N42" s="107"/>
      <c r="O42" s="121"/>
    </row>
    <row r="43" spans="1:17" x14ac:dyDescent="0.25">
      <c r="A43" s="122"/>
      <c r="B43" s="115" t="s">
        <v>266</v>
      </c>
      <c r="C43" s="123" t="s">
        <v>244</v>
      </c>
      <c r="D43" s="124"/>
      <c r="E43" s="124"/>
      <c r="F43" s="125"/>
      <c r="G43" s="124"/>
      <c r="H43" s="125"/>
      <c r="I43" s="124"/>
      <c r="J43" s="125"/>
      <c r="K43" s="124"/>
      <c r="L43" s="124"/>
      <c r="M43" s="126"/>
      <c r="N43" s="124"/>
      <c r="O43" s="124"/>
      <c r="P43" s="103">
        <f>SUM(O37:O42)</f>
        <v>1058.7000000000003</v>
      </c>
      <c r="Q43" s="30" t="s">
        <v>126</v>
      </c>
    </row>
    <row r="44" spans="1:17" ht="20.399999999999999" x14ac:dyDescent="0.25">
      <c r="A44" s="114" t="s">
        <v>126</v>
      </c>
      <c r="B44" s="122" t="s">
        <v>245</v>
      </c>
      <c r="C44" s="122" t="s">
        <v>246</v>
      </c>
      <c r="D44" s="117" t="s">
        <v>247</v>
      </c>
      <c r="E44" s="117">
        <v>158</v>
      </c>
      <c r="F44" s="118">
        <v>5.0632911392405111E-2</v>
      </c>
      <c r="G44" s="117">
        <v>150</v>
      </c>
      <c r="H44" s="118">
        <v>0.10126582278481011</v>
      </c>
      <c r="I44" s="117">
        <v>142</v>
      </c>
      <c r="J44" s="118">
        <v>0.7</v>
      </c>
      <c r="K44" s="117" t="s">
        <v>205</v>
      </c>
      <c r="L44" s="117"/>
      <c r="M44" s="119">
        <v>1</v>
      </c>
      <c r="N44" s="117">
        <f>UnitPrice*(1-Discount)</f>
        <v>47.400000000000006</v>
      </c>
      <c r="O44" s="120">
        <f>(NetPrice*Qty)+(Freight*Qty)</f>
        <v>47.400000000000006</v>
      </c>
    </row>
    <row r="45" spans="1:17" ht="19.2" hidden="1" x14ac:dyDescent="0.25">
      <c r="A45" s="113"/>
      <c r="B45" s="104"/>
      <c r="C45" s="111" t="s">
        <v>248</v>
      </c>
      <c r="D45" s="107"/>
      <c r="E45" s="107"/>
      <c r="F45" s="108"/>
      <c r="G45" s="107"/>
      <c r="H45" s="108"/>
      <c r="I45" s="107"/>
      <c r="J45" s="108"/>
      <c r="K45" s="107"/>
      <c r="L45" s="107"/>
      <c r="M45" s="109"/>
      <c r="N45" s="107"/>
      <c r="O45" s="121"/>
    </row>
    <row r="46" spans="1:17" ht="30.6" x14ac:dyDescent="0.25">
      <c r="A46" s="113" t="s">
        <v>126</v>
      </c>
      <c r="B46" s="104" t="s">
        <v>249</v>
      </c>
      <c r="C46" s="104" t="s">
        <v>250</v>
      </c>
      <c r="D46" s="107" t="s">
        <v>247</v>
      </c>
      <c r="E46" s="107">
        <v>320</v>
      </c>
      <c r="F46" s="108">
        <v>5.0000000000000044E-2</v>
      </c>
      <c r="G46" s="107">
        <v>304</v>
      </c>
      <c r="H46" s="108">
        <v>9.9999999999999978E-2</v>
      </c>
      <c r="I46" s="107">
        <v>288</v>
      </c>
      <c r="J46" s="108">
        <v>0.7</v>
      </c>
      <c r="K46" s="107" t="s">
        <v>205</v>
      </c>
      <c r="L46" s="107"/>
      <c r="M46" s="109">
        <v>2</v>
      </c>
      <c r="N46" s="107">
        <f>UnitPrice*(1-Discount)</f>
        <v>96.000000000000014</v>
      </c>
      <c r="O46" s="121">
        <f>(NetPrice*Qty)+(Freight*Qty)</f>
        <v>192.00000000000003</v>
      </c>
    </row>
    <row r="47" spans="1:17" ht="57.6" hidden="1" x14ac:dyDescent="0.25">
      <c r="A47" s="113"/>
      <c r="B47" s="104"/>
      <c r="C47" s="111" t="s">
        <v>251</v>
      </c>
      <c r="D47" s="107"/>
      <c r="E47" s="107"/>
      <c r="F47" s="108"/>
      <c r="G47" s="107"/>
      <c r="H47" s="108"/>
      <c r="I47" s="107"/>
      <c r="J47" s="108"/>
      <c r="K47" s="107"/>
      <c r="L47" s="107"/>
      <c r="M47" s="109"/>
      <c r="N47" s="107"/>
      <c r="O47" s="121"/>
    </row>
    <row r="48" spans="1:17" x14ac:dyDescent="0.25">
      <c r="A48" s="122"/>
      <c r="B48" s="115" t="s">
        <v>266</v>
      </c>
      <c r="C48" s="123" t="s">
        <v>252</v>
      </c>
      <c r="D48" s="124"/>
      <c r="E48" s="124"/>
      <c r="F48" s="125"/>
      <c r="G48" s="124"/>
      <c r="H48" s="125"/>
      <c r="I48" s="124"/>
      <c r="J48" s="125"/>
      <c r="K48" s="124"/>
      <c r="L48" s="124"/>
      <c r="M48" s="126"/>
      <c r="N48" s="124"/>
      <c r="O48" s="124"/>
      <c r="P48" s="103">
        <f>SUM(O44:O47)</f>
        <v>239.40000000000003</v>
      </c>
      <c r="Q48" s="30" t="s">
        <v>126</v>
      </c>
    </row>
    <row r="49" spans="1:16" hidden="1" x14ac:dyDescent="0.25"/>
    <row r="50" spans="1:16" ht="20.399999999999999" x14ac:dyDescent="0.25">
      <c r="A50" s="1" t="s">
        <v>126</v>
      </c>
      <c r="B50" s="93" t="s">
        <v>253</v>
      </c>
      <c r="C50" s="1"/>
      <c r="O50" s="48" t="s">
        <v>254</v>
      </c>
      <c r="P50" s="48">
        <f>SUM(P8:P49)</f>
        <v>13830.500000000002</v>
      </c>
    </row>
    <row r="51" spans="1:16" hidden="1" x14ac:dyDescent="0.25">
      <c r="A51" s="39" t="s">
        <v>256</v>
      </c>
    </row>
    <row r="52" spans="1:16" hidden="1" x14ac:dyDescent="0.25">
      <c r="A52" s="39" t="s">
        <v>257</v>
      </c>
    </row>
    <row r="53" spans="1:16" ht="25.5" hidden="1" customHeight="1" x14ac:dyDescent="0.25">
      <c r="A53" s="91" t="s">
        <v>258</v>
      </c>
      <c r="B53" s="92"/>
      <c r="C53" s="92"/>
      <c r="D53" s="92"/>
      <c r="E53" s="92"/>
      <c r="F53" s="92"/>
    </row>
    <row r="54" spans="1:16" ht="25.5" hidden="1" customHeight="1" x14ac:dyDescent="0.25">
      <c r="A54" s="91" t="s">
        <v>54</v>
      </c>
      <c r="B54" s="92"/>
      <c r="C54" s="92"/>
      <c r="D54" s="92"/>
      <c r="E54" s="92"/>
      <c r="F54" s="92"/>
    </row>
    <row r="55" spans="1:16" hidden="1" x14ac:dyDescent="0.25"/>
  </sheetData>
  <mergeCells count="2">
    <mergeCell ref="A53:F53"/>
    <mergeCell ref="A54:F54"/>
  </mergeCells>
  <dataValidations count="1">
    <dataValidation type="list" allowBlank="1" showInputMessage="1" showErrorMessage="1" sqref="B1:B2" xr:uid="{5838E84E-730A-4E10-993C-96060CB4C551}">
      <formula1>UnitPriceColumnChoices</formula1>
    </dataValidation>
  </dataValidations>
  <printOptions horizontalCentered="1"/>
  <pageMargins left="0.5" right="0.5" top="0.5" bottom="0.5" header="0" footer="0"/>
  <pageSetup scale="98" fitToHeight="0" orientation="landscape" r:id="rId1"/>
  <headerFooter alignWithMargins="0">
    <oddFooter>&amp;LPrinted: &amp;D    &amp;T&amp;RPage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29"/>
  <sheetViews>
    <sheetView workbookViewId="0">
      <selection activeCell="C3" sqref="C3"/>
    </sheetView>
  </sheetViews>
  <sheetFormatPr defaultColWidth="9.109375" defaultRowHeight="10.199999999999999" x14ac:dyDescent="0.2"/>
  <cols>
    <col min="1" max="1" width="9.109375" style="49"/>
    <col min="2" max="2" width="50.6640625" style="24" customWidth="1"/>
    <col min="3" max="3" width="58.6640625" style="24" bestFit="1" customWidth="1"/>
    <col min="4" max="5" width="57.88671875" style="24" customWidth="1"/>
    <col min="6" max="16384" width="9.109375" style="24"/>
  </cols>
  <sheetData>
    <row r="1" spans="1:5" s="49" customFormat="1" x14ac:dyDescent="0.2">
      <c r="A1" s="49" t="s">
        <v>13</v>
      </c>
      <c r="B1" s="50" t="s">
        <v>14</v>
      </c>
      <c r="C1" s="50" t="s">
        <v>4</v>
      </c>
      <c r="D1" s="50" t="s">
        <v>5</v>
      </c>
      <c r="E1" s="50" t="s">
        <v>51</v>
      </c>
    </row>
    <row r="2" spans="1:5" x14ac:dyDescent="0.2">
      <c r="A2" s="49" t="s">
        <v>15</v>
      </c>
      <c r="B2" s="58" t="s">
        <v>103</v>
      </c>
      <c r="C2" s="33" t="s">
        <v>46</v>
      </c>
      <c r="D2" s="58" t="s">
        <v>106</v>
      </c>
      <c r="E2" s="25" t="str">
        <f>B2</f>
        <v>Remit to: Quantum Corporation • PO BOX 933085 • Cleveland, OH 44193</v>
      </c>
    </row>
    <row r="3" spans="1:5" x14ac:dyDescent="0.2">
      <c r="A3" s="49" t="s">
        <v>2</v>
      </c>
      <c r="B3" s="59" t="s">
        <v>96</v>
      </c>
      <c r="C3" s="33" t="s">
        <v>121</v>
      </c>
      <c r="D3" s="59" t="s">
        <v>105</v>
      </c>
      <c r="E3" s="26" t="str">
        <f>B3</f>
        <v>Phone: (949) 856-7800  • Fax: (949) 856-7797</v>
      </c>
    </row>
    <row r="4" spans="1:5" x14ac:dyDescent="0.2">
      <c r="A4" s="49" t="s">
        <v>3</v>
      </c>
      <c r="B4" s="26" t="s">
        <v>39</v>
      </c>
      <c r="C4" s="40" t="s">
        <v>34</v>
      </c>
      <c r="D4" s="26" t="s">
        <v>45</v>
      </c>
      <c r="E4" s="26" t="str">
        <f>B4</f>
        <v>E-mail: sales-orders@quantum.com</v>
      </c>
    </row>
    <row r="7" spans="1:5" x14ac:dyDescent="0.2">
      <c r="B7" s="24" t="s">
        <v>79</v>
      </c>
      <c r="C7" s="24" t="s">
        <v>84</v>
      </c>
      <c r="D7" s="24" t="s">
        <v>85</v>
      </c>
    </row>
    <row r="8" spans="1:5" x14ac:dyDescent="0.2">
      <c r="B8" s="24" t="s">
        <v>35</v>
      </c>
      <c r="C8" s="24" t="s">
        <v>80</v>
      </c>
      <c r="D8" s="24" t="s">
        <v>82</v>
      </c>
    </row>
    <row r="9" spans="1:5" x14ac:dyDescent="0.2">
      <c r="B9" s="24" t="s">
        <v>36</v>
      </c>
      <c r="C9" s="24" t="s">
        <v>81</v>
      </c>
      <c r="D9" s="24" t="s">
        <v>83</v>
      </c>
    </row>
    <row r="10" spans="1:5" x14ac:dyDescent="0.2">
      <c r="B10" s="24" t="s">
        <v>37</v>
      </c>
    </row>
    <row r="11" spans="1:5" x14ac:dyDescent="0.2">
      <c r="B11" s="24" t="s">
        <v>38</v>
      </c>
    </row>
    <row r="12" spans="1:5" x14ac:dyDescent="0.2">
      <c r="B12" s="24" t="s">
        <v>62</v>
      </c>
    </row>
    <row r="13" spans="1:5" x14ac:dyDescent="0.2">
      <c r="B13" s="24" t="s">
        <v>63</v>
      </c>
    </row>
    <row r="14" spans="1:5" x14ac:dyDescent="0.2">
      <c r="B14" s="24" t="s">
        <v>64</v>
      </c>
    </row>
    <row r="15" spans="1:5" x14ac:dyDescent="0.2">
      <c r="B15" s="24" t="s">
        <v>65</v>
      </c>
    </row>
    <row r="16" spans="1:5" x14ac:dyDescent="0.2">
      <c r="B16" s="24" t="s">
        <v>66</v>
      </c>
    </row>
    <row r="17" spans="2:4" x14ac:dyDescent="0.2">
      <c r="B17" s="24" t="s">
        <v>67</v>
      </c>
    </row>
    <row r="18" spans="2:4" x14ac:dyDescent="0.2">
      <c r="B18" s="24" t="s">
        <v>68</v>
      </c>
    </row>
    <row r="19" spans="2:4" x14ac:dyDescent="0.2">
      <c r="B19" s="24" t="s">
        <v>69</v>
      </c>
    </row>
    <row r="20" spans="2:4" x14ac:dyDescent="0.2">
      <c r="B20" s="24" t="s">
        <v>70</v>
      </c>
    </row>
    <row r="21" spans="2:4" x14ac:dyDescent="0.2">
      <c r="B21" s="24" t="s">
        <v>71</v>
      </c>
    </row>
    <row r="22" spans="2:4" x14ac:dyDescent="0.2">
      <c r="B22" s="24" t="s">
        <v>72</v>
      </c>
    </row>
    <row r="23" spans="2:4" x14ac:dyDescent="0.2">
      <c r="B23" s="24" t="s">
        <v>109</v>
      </c>
    </row>
    <row r="26" spans="2:4" x14ac:dyDescent="0.2">
      <c r="B26" s="34" t="s">
        <v>48</v>
      </c>
      <c r="C26" s="42">
        <v>0</v>
      </c>
      <c r="D26" s="24" t="s">
        <v>102</v>
      </c>
    </row>
    <row r="28" spans="2:4" ht="30.6" x14ac:dyDescent="0.2">
      <c r="B28" s="24" t="s">
        <v>53</v>
      </c>
      <c r="C28" s="43" t="s">
        <v>54</v>
      </c>
    </row>
    <row r="29" spans="2:4" x14ac:dyDescent="0.2">
      <c r="B29" s="24" t="s">
        <v>116</v>
      </c>
      <c r="C29" s="24" t="s">
        <v>117</v>
      </c>
    </row>
  </sheetData>
  <phoneticPr fontId="2" type="noConversion"/>
  <hyperlinks>
    <hyperlink ref="C4" r:id="rId1" display="mailto:ApacSales.Admin@quantum.com" xr:uid="{00000000-0004-0000-0400-000000000000}"/>
  </hyperlinks>
  <pageMargins left="0.75" right="0.75" top="1" bottom="1" header="0.5" footer="0.5"/>
  <pageSetup orientation="portrait" r:id="rId2"/>
  <headerFooter alignWithMargins="0"/>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R76"/>
  <sheetViews>
    <sheetView workbookViewId="0">
      <selection sqref="A1:XFD76"/>
    </sheetView>
  </sheetViews>
  <sheetFormatPr defaultColWidth="12" defaultRowHeight="13.2" x14ac:dyDescent="0.25"/>
  <sheetData>
    <row r="1" spans="1:5" ht="15" customHeight="1" x14ac:dyDescent="0.25">
      <c r="A1" t="s">
        <v>125</v>
      </c>
      <c r="B1" t="s">
        <v>126</v>
      </c>
    </row>
    <row r="3" spans="1:5" ht="15" customHeight="1" x14ac:dyDescent="0.25">
      <c r="A3" t="s">
        <v>127</v>
      </c>
      <c r="B3" t="s">
        <v>126</v>
      </c>
      <c r="D3" t="s">
        <v>128</v>
      </c>
      <c r="E3" t="s">
        <v>129</v>
      </c>
    </row>
    <row r="4" spans="1:5" ht="15" customHeight="1" x14ac:dyDescent="0.25">
      <c r="A4" t="s">
        <v>130</v>
      </c>
      <c r="B4" t="s">
        <v>131</v>
      </c>
      <c r="D4" t="s">
        <v>132</v>
      </c>
      <c r="E4">
        <v>1</v>
      </c>
    </row>
    <row r="5" spans="1:5" ht="15" customHeight="1" x14ac:dyDescent="0.25">
      <c r="A5" t="s">
        <v>133</v>
      </c>
      <c r="B5" t="s">
        <v>134</v>
      </c>
      <c r="D5" t="s">
        <v>135</v>
      </c>
      <c r="E5" t="s">
        <v>136</v>
      </c>
    </row>
    <row r="6" spans="1:5" ht="15" customHeight="1" x14ac:dyDescent="0.25">
      <c r="A6" t="s">
        <v>100</v>
      </c>
      <c r="B6" t="s">
        <v>137</v>
      </c>
      <c r="D6" t="s">
        <v>138</v>
      </c>
      <c r="E6" t="s">
        <v>139</v>
      </c>
    </row>
    <row r="7" spans="1:5" ht="15" customHeight="1" x14ac:dyDescent="0.25">
      <c r="A7" t="s">
        <v>140</v>
      </c>
      <c r="B7" t="s">
        <v>141</v>
      </c>
      <c r="D7" t="s">
        <v>142</v>
      </c>
      <c r="E7" t="s">
        <v>143</v>
      </c>
    </row>
    <row r="8" spans="1:5" ht="15" customHeight="1" x14ac:dyDescent="0.25">
      <c r="A8" t="s">
        <v>144</v>
      </c>
      <c r="B8" t="s">
        <v>51</v>
      </c>
      <c r="D8" t="s">
        <v>145</v>
      </c>
      <c r="E8" t="s">
        <v>146</v>
      </c>
    </row>
    <row r="9" spans="1:5" ht="15" customHeight="1" x14ac:dyDescent="0.25">
      <c r="A9" t="s">
        <v>147</v>
      </c>
      <c r="B9" t="s">
        <v>148</v>
      </c>
      <c r="D9" t="s">
        <v>149</v>
      </c>
      <c r="E9" t="s">
        <v>150</v>
      </c>
    </row>
    <row r="10" spans="1:5" ht="15" customHeight="1" x14ac:dyDescent="0.25">
      <c r="A10" t="s">
        <v>151</v>
      </c>
      <c r="B10" t="s">
        <v>152</v>
      </c>
      <c r="D10" t="s">
        <v>153</v>
      </c>
      <c r="E10" t="s">
        <v>146</v>
      </c>
    </row>
    <row r="11" spans="1:5" ht="15" customHeight="1" x14ac:dyDescent="0.25">
      <c r="A11" t="s">
        <v>154</v>
      </c>
      <c r="B11" t="s">
        <v>126</v>
      </c>
      <c r="D11" t="s">
        <v>126</v>
      </c>
      <c r="E11" t="s">
        <v>126</v>
      </c>
    </row>
    <row r="12" spans="1:5" ht="15" customHeight="1" x14ac:dyDescent="0.25">
      <c r="A12" t="s">
        <v>155</v>
      </c>
      <c r="B12" t="s">
        <v>156</v>
      </c>
      <c r="D12" t="s">
        <v>126</v>
      </c>
      <c r="E12" t="s">
        <v>126</v>
      </c>
    </row>
    <row r="13" spans="1:5" ht="15" customHeight="1" x14ac:dyDescent="0.25">
      <c r="A13" t="s">
        <v>157</v>
      </c>
      <c r="B13" t="s">
        <v>158</v>
      </c>
      <c r="D13" t="s">
        <v>159</v>
      </c>
      <c r="E13" t="s">
        <v>126</v>
      </c>
    </row>
    <row r="14" spans="1:5" ht="15" customHeight="1" x14ac:dyDescent="0.25">
      <c r="A14" t="s">
        <v>160</v>
      </c>
      <c r="B14" t="s">
        <v>126</v>
      </c>
      <c r="C14" t="s">
        <v>126</v>
      </c>
    </row>
    <row r="15" spans="1:5" ht="15" customHeight="1" x14ac:dyDescent="0.25">
      <c r="A15" t="s">
        <v>161</v>
      </c>
    </row>
    <row r="16" spans="1:5" ht="15" customHeight="1" x14ac:dyDescent="0.25">
      <c r="A16" t="s">
        <v>162</v>
      </c>
      <c r="B16" t="s">
        <v>163</v>
      </c>
      <c r="C16" t="s">
        <v>164</v>
      </c>
      <c r="D16" t="s">
        <v>165</v>
      </c>
      <c r="E16" t="s">
        <v>166</v>
      </c>
    </row>
    <row r="18" spans="1:17" ht="15" customHeight="1" x14ac:dyDescent="0.25">
      <c r="A18" t="s">
        <v>167</v>
      </c>
      <c r="B18" t="s">
        <v>156</v>
      </c>
      <c r="C18" t="s">
        <v>126</v>
      </c>
      <c r="D18" t="s">
        <v>168</v>
      </c>
      <c r="E18" t="s">
        <v>150</v>
      </c>
    </row>
    <row r="19" spans="1:17" ht="15" customHeight="1" x14ac:dyDescent="0.25">
      <c r="A19" t="s">
        <v>169</v>
      </c>
      <c r="B19" t="s">
        <v>170</v>
      </c>
    </row>
    <row r="20" spans="1:17" ht="15" customHeight="1" x14ac:dyDescent="0.25">
      <c r="A20" t="s">
        <v>171</v>
      </c>
      <c r="B20" t="s">
        <v>126</v>
      </c>
    </row>
    <row r="22" spans="1:17" ht="15" customHeight="1" x14ac:dyDescent="0.25">
      <c r="A22" t="s">
        <v>172</v>
      </c>
      <c r="B22" t="s">
        <v>126</v>
      </c>
    </row>
    <row r="23" spans="1:17" ht="15" customHeight="1" x14ac:dyDescent="0.25">
      <c r="A23" t="s">
        <v>169</v>
      </c>
      <c r="B23" t="s">
        <v>126</v>
      </c>
    </row>
    <row r="24" spans="1:17" ht="15" customHeight="1" x14ac:dyDescent="0.25">
      <c r="A24" t="s">
        <v>171</v>
      </c>
      <c r="B24" t="s">
        <v>126</v>
      </c>
    </row>
    <row r="26" spans="1:17" ht="15" customHeight="1" x14ac:dyDescent="0.25">
      <c r="A26" t="s">
        <v>173</v>
      </c>
      <c r="B26" t="s">
        <v>174</v>
      </c>
      <c r="C26" t="s">
        <v>175</v>
      </c>
      <c r="D26" t="s">
        <v>176</v>
      </c>
      <c r="E26" t="s">
        <v>177</v>
      </c>
      <c r="F26" t="s">
        <v>178</v>
      </c>
      <c r="G26" t="s">
        <v>179</v>
      </c>
      <c r="H26" t="s">
        <v>180</v>
      </c>
      <c r="I26" t="s">
        <v>181</v>
      </c>
      <c r="J26" t="s">
        <v>182</v>
      </c>
      <c r="K26" t="s">
        <v>183</v>
      </c>
      <c r="L26" t="s">
        <v>184</v>
      </c>
      <c r="M26" t="s">
        <v>185</v>
      </c>
      <c r="N26" t="s">
        <v>186</v>
      </c>
      <c r="O26" t="s">
        <v>187</v>
      </c>
      <c r="P26" t="s">
        <v>188</v>
      </c>
      <c r="Q26" t="s">
        <v>189</v>
      </c>
    </row>
    <row r="27" spans="1:17" ht="15" customHeight="1" x14ac:dyDescent="0.25">
      <c r="A27" t="s">
        <v>190</v>
      </c>
      <c r="B27" t="s">
        <v>191</v>
      </c>
      <c r="C27" t="s">
        <v>192</v>
      </c>
      <c r="D27">
        <v>1</v>
      </c>
      <c r="M27">
        <v>0</v>
      </c>
      <c r="N27">
        <v>1</v>
      </c>
    </row>
    <row r="28" spans="1:17" ht="15" customHeight="1" x14ac:dyDescent="0.25">
      <c r="A28" t="s">
        <v>126</v>
      </c>
      <c r="B28" t="s">
        <v>193</v>
      </c>
      <c r="C28" t="s">
        <v>194</v>
      </c>
    </row>
    <row r="29" spans="1:17" ht="15" customHeight="1" x14ac:dyDescent="0.25">
      <c r="A29" t="s">
        <v>126</v>
      </c>
      <c r="B29" t="s">
        <v>195</v>
      </c>
      <c r="C29" t="s">
        <v>196</v>
      </c>
    </row>
    <row r="30" spans="1:17" ht="15" customHeight="1" x14ac:dyDescent="0.25">
      <c r="A30" t="s">
        <v>126</v>
      </c>
      <c r="B30" t="s">
        <v>197</v>
      </c>
      <c r="C30" t="s">
        <v>198</v>
      </c>
    </row>
    <row r="31" spans="1:17" ht="15" customHeight="1" x14ac:dyDescent="0.25">
      <c r="A31" t="s">
        <v>126</v>
      </c>
      <c r="B31" t="s">
        <v>184</v>
      </c>
      <c r="C31" t="s">
        <v>199</v>
      </c>
    </row>
    <row r="32" spans="1:17" ht="15" customHeight="1" x14ac:dyDescent="0.25">
      <c r="A32" t="s">
        <v>126</v>
      </c>
      <c r="B32" t="s">
        <v>126</v>
      </c>
    </row>
    <row r="33" spans="1:18" ht="15" customHeight="1" x14ac:dyDescent="0.25">
      <c r="A33" t="s">
        <v>126</v>
      </c>
      <c r="B33" t="s">
        <v>200</v>
      </c>
      <c r="C33" t="s">
        <v>201</v>
      </c>
    </row>
    <row r="34" spans="1:18" ht="15" customHeight="1" x14ac:dyDescent="0.25">
      <c r="A34" t="s">
        <v>126</v>
      </c>
      <c r="B34" t="s">
        <v>202</v>
      </c>
      <c r="C34" t="s">
        <v>203</v>
      </c>
      <c r="D34" t="s">
        <v>204</v>
      </c>
      <c r="E34">
        <v>4031</v>
      </c>
      <c r="F34" s="88">
        <v>0.35003721161002233</v>
      </c>
      <c r="G34">
        <v>2620</v>
      </c>
      <c r="H34" s="88">
        <v>0.4500124038700074</v>
      </c>
      <c r="I34">
        <v>2217</v>
      </c>
      <c r="J34" s="88">
        <v>0.44999999999999996</v>
      </c>
      <c r="K34" t="s">
        <v>205</v>
      </c>
      <c r="L34" t="s">
        <v>126</v>
      </c>
      <c r="M34" t="s">
        <v>126</v>
      </c>
      <c r="N34">
        <v>1</v>
      </c>
      <c r="O34">
        <v>2217.0500000000002</v>
      </c>
      <c r="P34">
        <v>2217.0500000000002</v>
      </c>
    </row>
    <row r="35" spans="1:18" ht="15" customHeight="1" x14ac:dyDescent="0.25">
      <c r="C35" s="63" t="s">
        <v>206</v>
      </c>
    </row>
    <row r="36" spans="1:18" ht="15" customHeight="1" x14ac:dyDescent="0.25">
      <c r="A36" t="s">
        <v>126</v>
      </c>
      <c r="B36" t="s">
        <v>207</v>
      </c>
      <c r="C36" t="s">
        <v>208</v>
      </c>
      <c r="D36" t="s">
        <v>204</v>
      </c>
      <c r="E36">
        <v>6500</v>
      </c>
      <c r="F36" s="88">
        <v>0.35</v>
      </c>
      <c r="G36">
        <v>4225</v>
      </c>
      <c r="H36" s="88">
        <v>0.44999999999999996</v>
      </c>
      <c r="I36">
        <v>3575</v>
      </c>
      <c r="J36" s="88">
        <v>0.44999999999999996</v>
      </c>
      <c r="K36" t="s">
        <v>205</v>
      </c>
      <c r="L36" t="s">
        <v>126</v>
      </c>
      <c r="M36" t="s">
        <v>126</v>
      </c>
      <c r="N36">
        <v>2</v>
      </c>
      <c r="O36">
        <v>3575</v>
      </c>
      <c r="P36">
        <v>7150</v>
      </c>
    </row>
    <row r="37" spans="1:18" ht="15" customHeight="1" x14ac:dyDescent="0.25">
      <c r="C37" s="63" t="s">
        <v>209</v>
      </c>
    </row>
    <row r="38" spans="1:18" ht="15" customHeight="1" x14ac:dyDescent="0.25">
      <c r="A38" t="s">
        <v>126</v>
      </c>
      <c r="B38" t="s">
        <v>210</v>
      </c>
      <c r="C38" t="s">
        <v>211</v>
      </c>
      <c r="D38" t="s">
        <v>204</v>
      </c>
      <c r="E38">
        <v>231</v>
      </c>
      <c r="F38" s="88">
        <v>0.35064935064935066</v>
      </c>
      <c r="G38">
        <v>150</v>
      </c>
      <c r="H38" s="88">
        <v>0.45021645021645018</v>
      </c>
      <c r="I38">
        <v>127</v>
      </c>
      <c r="J38" s="88">
        <v>1</v>
      </c>
      <c r="K38" t="s">
        <v>205</v>
      </c>
      <c r="L38" t="s">
        <v>126</v>
      </c>
      <c r="M38" t="s">
        <v>126</v>
      </c>
      <c r="N38">
        <v>1</v>
      </c>
      <c r="O38">
        <v>0</v>
      </c>
      <c r="P38">
        <v>0</v>
      </c>
    </row>
    <row r="39" spans="1:18" ht="15" customHeight="1" x14ac:dyDescent="0.25">
      <c r="C39" s="63" t="s">
        <v>126</v>
      </c>
    </row>
    <row r="40" spans="1:18" ht="15" customHeight="1" x14ac:dyDescent="0.25">
      <c r="A40" t="s">
        <v>126</v>
      </c>
      <c r="B40" t="s">
        <v>212</v>
      </c>
      <c r="C40" t="s">
        <v>213</v>
      </c>
      <c r="D40" t="s">
        <v>204</v>
      </c>
      <c r="E40">
        <v>525</v>
      </c>
      <c r="F40" s="88">
        <v>0.3504761904761905</v>
      </c>
      <c r="G40">
        <v>341</v>
      </c>
      <c r="H40" s="88">
        <v>0.44952380952380955</v>
      </c>
      <c r="I40">
        <v>289</v>
      </c>
      <c r="J40" s="88">
        <v>0.44999999999999996</v>
      </c>
      <c r="K40" t="s">
        <v>205</v>
      </c>
      <c r="L40" t="s">
        <v>126</v>
      </c>
      <c r="M40" t="s">
        <v>126</v>
      </c>
      <c r="N40">
        <v>1</v>
      </c>
      <c r="O40">
        <v>288.75</v>
      </c>
      <c r="P40">
        <v>288.75</v>
      </c>
    </row>
    <row r="41" spans="1:18" ht="15" customHeight="1" x14ac:dyDescent="0.25">
      <c r="C41" s="63" t="s">
        <v>214</v>
      </c>
    </row>
    <row r="42" spans="1:18" ht="15" customHeight="1" x14ac:dyDescent="0.25">
      <c r="A42" t="s">
        <v>126</v>
      </c>
      <c r="B42" t="s">
        <v>215</v>
      </c>
      <c r="C42" t="s">
        <v>216</v>
      </c>
      <c r="D42" t="s">
        <v>204</v>
      </c>
      <c r="E42">
        <v>319</v>
      </c>
      <c r="F42" s="88">
        <v>0.2507836990595611</v>
      </c>
      <c r="G42">
        <v>239</v>
      </c>
      <c r="H42" s="88">
        <v>0.45141065830721006</v>
      </c>
      <c r="I42">
        <v>175</v>
      </c>
      <c r="J42" s="88">
        <v>0.45000000000000007</v>
      </c>
      <c r="K42" t="s">
        <v>205</v>
      </c>
      <c r="L42" t="s">
        <v>126</v>
      </c>
      <c r="M42" t="s">
        <v>126</v>
      </c>
      <c r="N42">
        <v>2</v>
      </c>
      <c r="O42">
        <v>175.45</v>
      </c>
      <c r="P42">
        <v>350.9</v>
      </c>
    </row>
    <row r="43" spans="1:18" ht="15" customHeight="1" x14ac:dyDescent="0.25">
      <c r="C43" s="63" t="s">
        <v>126</v>
      </c>
    </row>
    <row r="44" spans="1:18" ht="15" customHeight="1" x14ac:dyDescent="0.25">
      <c r="A44" t="s">
        <v>126</v>
      </c>
      <c r="B44" t="s">
        <v>217</v>
      </c>
      <c r="C44" t="s">
        <v>218</v>
      </c>
      <c r="D44" t="s">
        <v>204</v>
      </c>
      <c r="E44">
        <v>300.2</v>
      </c>
      <c r="F44" s="88">
        <v>0</v>
      </c>
      <c r="G44">
        <v>300.2</v>
      </c>
      <c r="H44" s="88">
        <v>0</v>
      </c>
      <c r="I44">
        <v>300.2</v>
      </c>
      <c r="J44" s="88">
        <v>0</v>
      </c>
      <c r="K44" t="s">
        <v>205</v>
      </c>
      <c r="L44" t="s">
        <v>126</v>
      </c>
      <c r="M44" t="s">
        <v>126</v>
      </c>
      <c r="N44">
        <v>1</v>
      </c>
      <c r="O44">
        <v>300.2</v>
      </c>
      <c r="P44">
        <v>300.2</v>
      </c>
    </row>
    <row r="45" spans="1:18" ht="15" customHeight="1" x14ac:dyDescent="0.25">
      <c r="C45" s="63" t="s">
        <v>126</v>
      </c>
    </row>
    <row r="46" spans="1:18" ht="15" customHeight="1" x14ac:dyDescent="0.25">
      <c r="C46" t="s">
        <v>219</v>
      </c>
      <c r="Q46">
        <v>10306.9</v>
      </c>
      <c r="R46" t="s">
        <v>126</v>
      </c>
    </row>
    <row r="47" spans="1:18" ht="15" customHeight="1" x14ac:dyDescent="0.25">
      <c r="A47" t="s">
        <v>126</v>
      </c>
      <c r="B47" t="s">
        <v>220</v>
      </c>
      <c r="C47" t="s">
        <v>221</v>
      </c>
      <c r="D47" t="s">
        <v>222</v>
      </c>
      <c r="E47">
        <v>1251</v>
      </c>
      <c r="F47" s="88">
        <v>0.35011990407673865</v>
      </c>
      <c r="G47">
        <v>813</v>
      </c>
      <c r="H47" s="88">
        <v>0.45003996802557955</v>
      </c>
      <c r="I47">
        <v>688</v>
      </c>
      <c r="J47" s="88">
        <v>0.5</v>
      </c>
      <c r="K47" t="s">
        <v>205</v>
      </c>
      <c r="L47" t="s">
        <v>126</v>
      </c>
      <c r="M47" t="s">
        <v>126</v>
      </c>
      <c r="N47">
        <v>1</v>
      </c>
      <c r="O47">
        <v>625.5</v>
      </c>
      <c r="P47">
        <v>625.5</v>
      </c>
    </row>
    <row r="48" spans="1:18" ht="15" customHeight="1" x14ac:dyDescent="0.25">
      <c r="C48" s="63" t="s">
        <v>223</v>
      </c>
    </row>
    <row r="49" spans="1:18" ht="15" customHeight="1" x14ac:dyDescent="0.25">
      <c r="A49" t="s">
        <v>126</v>
      </c>
      <c r="B49" t="s">
        <v>224</v>
      </c>
      <c r="C49" t="s">
        <v>225</v>
      </c>
      <c r="D49" t="s">
        <v>222</v>
      </c>
      <c r="E49">
        <v>3000</v>
      </c>
      <c r="F49" s="88">
        <v>0.35</v>
      </c>
      <c r="G49">
        <v>1950</v>
      </c>
      <c r="H49" s="88">
        <v>0.44999999999999996</v>
      </c>
      <c r="I49">
        <v>1650</v>
      </c>
      <c r="J49" s="88">
        <v>1</v>
      </c>
      <c r="K49" t="s">
        <v>205</v>
      </c>
      <c r="L49" t="s">
        <v>126</v>
      </c>
      <c r="M49" t="s">
        <v>126</v>
      </c>
      <c r="N49">
        <v>1</v>
      </c>
      <c r="O49">
        <v>0</v>
      </c>
      <c r="P49">
        <v>0</v>
      </c>
    </row>
    <row r="50" spans="1:18" ht="15" customHeight="1" x14ac:dyDescent="0.25">
      <c r="C50" s="63" t="s">
        <v>226</v>
      </c>
    </row>
    <row r="51" spans="1:18" ht="15" customHeight="1" x14ac:dyDescent="0.25">
      <c r="A51" t="s">
        <v>126</v>
      </c>
      <c r="B51" t="s">
        <v>227</v>
      </c>
      <c r="C51" t="s">
        <v>228</v>
      </c>
      <c r="D51" t="s">
        <v>222</v>
      </c>
      <c r="E51">
        <v>6338</v>
      </c>
      <c r="F51" s="88">
        <v>0.34995266645629541</v>
      </c>
      <c r="G51">
        <v>4120</v>
      </c>
      <c r="H51" s="88">
        <v>0.44998422215209843</v>
      </c>
      <c r="I51">
        <v>3486</v>
      </c>
      <c r="J51" s="88">
        <v>1</v>
      </c>
      <c r="K51" t="s">
        <v>205</v>
      </c>
      <c r="L51" t="s">
        <v>126</v>
      </c>
      <c r="M51" t="s">
        <v>126</v>
      </c>
      <c r="N51">
        <v>1</v>
      </c>
      <c r="O51">
        <v>0</v>
      </c>
      <c r="P51">
        <v>0</v>
      </c>
    </row>
    <row r="52" spans="1:18" ht="15" customHeight="1" x14ac:dyDescent="0.25">
      <c r="C52" s="63" t="s">
        <v>229</v>
      </c>
    </row>
    <row r="53" spans="1:18" ht="15" customHeight="1" x14ac:dyDescent="0.25">
      <c r="A53" t="s">
        <v>126</v>
      </c>
      <c r="B53" t="s">
        <v>230</v>
      </c>
      <c r="C53" t="s">
        <v>231</v>
      </c>
      <c r="D53" t="s">
        <v>222</v>
      </c>
      <c r="E53">
        <v>1600</v>
      </c>
      <c r="F53" s="88">
        <v>0.35</v>
      </c>
      <c r="G53">
        <v>1040</v>
      </c>
      <c r="H53" s="88">
        <v>0.44999999999999996</v>
      </c>
      <c r="I53">
        <v>880</v>
      </c>
      <c r="J53" s="88">
        <v>0.5</v>
      </c>
      <c r="K53" t="s">
        <v>205</v>
      </c>
      <c r="L53" t="s">
        <v>126</v>
      </c>
      <c r="M53" t="s">
        <v>126</v>
      </c>
      <c r="N53">
        <v>2</v>
      </c>
      <c r="O53">
        <v>800</v>
      </c>
      <c r="P53">
        <v>1600</v>
      </c>
    </row>
    <row r="54" spans="1:18" ht="15" customHeight="1" x14ac:dyDescent="0.25">
      <c r="C54" s="63" t="s">
        <v>232</v>
      </c>
    </row>
    <row r="55" spans="1:18" ht="15" customHeight="1" x14ac:dyDescent="0.25">
      <c r="C55" t="s">
        <v>233</v>
      </c>
      <c r="Q55">
        <v>2225.5</v>
      </c>
      <c r="R55" t="s">
        <v>126</v>
      </c>
    </row>
    <row r="56" spans="1:18" ht="15" customHeight="1" x14ac:dyDescent="0.25">
      <c r="A56" t="s">
        <v>126</v>
      </c>
      <c r="B56" t="s">
        <v>234</v>
      </c>
      <c r="C56" t="s">
        <v>235</v>
      </c>
      <c r="D56" t="s">
        <v>236</v>
      </c>
      <c r="E56">
        <v>1679</v>
      </c>
      <c r="F56" s="88">
        <v>5.0029779630732629E-2</v>
      </c>
      <c r="G56">
        <v>1595</v>
      </c>
      <c r="H56" s="88">
        <v>0.10005955926146515</v>
      </c>
      <c r="I56">
        <v>1511</v>
      </c>
      <c r="J56" s="88">
        <v>0.7</v>
      </c>
      <c r="K56" t="s">
        <v>205</v>
      </c>
      <c r="L56" t="s">
        <v>126</v>
      </c>
      <c r="M56" t="s">
        <v>126</v>
      </c>
      <c r="N56">
        <v>1</v>
      </c>
      <c r="O56">
        <v>503.7</v>
      </c>
      <c r="P56">
        <v>503.7</v>
      </c>
    </row>
    <row r="57" spans="1:18" ht="15" customHeight="1" x14ac:dyDescent="0.25">
      <c r="C57" s="63" t="s">
        <v>237</v>
      </c>
    </row>
    <row r="58" spans="1:18" ht="15" customHeight="1" x14ac:dyDescent="0.25">
      <c r="A58" t="s">
        <v>126</v>
      </c>
      <c r="B58" t="s">
        <v>238</v>
      </c>
      <c r="C58" t="s">
        <v>239</v>
      </c>
      <c r="D58" t="s">
        <v>236</v>
      </c>
      <c r="E58">
        <v>825</v>
      </c>
      <c r="F58" s="88">
        <v>4.9696969696969684E-2</v>
      </c>
      <c r="G58">
        <v>784</v>
      </c>
      <c r="H58" s="88">
        <v>0.10060606060606059</v>
      </c>
      <c r="I58">
        <v>742</v>
      </c>
      <c r="J58" s="88">
        <v>0.7</v>
      </c>
      <c r="K58" t="s">
        <v>205</v>
      </c>
      <c r="L58" t="s">
        <v>126</v>
      </c>
      <c r="M58" t="s">
        <v>126</v>
      </c>
      <c r="N58">
        <v>2</v>
      </c>
      <c r="O58">
        <v>247.5</v>
      </c>
      <c r="P58">
        <v>495</v>
      </c>
    </row>
    <row r="59" spans="1:18" ht="15" customHeight="1" x14ac:dyDescent="0.25">
      <c r="C59" s="63" t="s">
        <v>240</v>
      </c>
    </row>
    <row r="60" spans="1:18" ht="15" customHeight="1" x14ac:dyDescent="0.25">
      <c r="A60" t="s">
        <v>126</v>
      </c>
      <c r="B60" t="s">
        <v>241</v>
      </c>
      <c r="C60" t="s">
        <v>242</v>
      </c>
      <c r="D60" t="s">
        <v>236</v>
      </c>
      <c r="E60">
        <v>200</v>
      </c>
      <c r="F60" s="88">
        <v>5.0000000000000044E-2</v>
      </c>
      <c r="G60">
        <v>190</v>
      </c>
      <c r="H60" s="88">
        <v>9.9999999999999978E-2</v>
      </c>
      <c r="I60">
        <v>180</v>
      </c>
      <c r="J60" s="88">
        <v>0.7</v>
      </c>
      <c r="K60" t="s">
        <v>205</v>
      </c>
      <c r="L60" t="s">
        <v>126</v>
      </c>
      <c r="M60" t="s">
        <v>126</v>
      </c>
      <c r="N60">
        <v>1</v>
      </c>
      <c r="O60">
        <v>60</v>
      </c>
      <c r="P60">
        <v>60</v>
      </c>
    </row>
    <row r="61" spans="1:18" ht="15" customHeight="1" x14ac:dyDescent="0.25">
      <c r="C61" s="63" t="s">
        <v>243</v>
      </c>
    </row>
    <row r="62" spans="1:18" ht="15" customHeight="1" x14ac:dyDescent="0.25">
      <c r="C62" t="s">
        <v>244</v>
      </c>
      <c r="Q62">
        <v>1058.7</v>
      </c>
      <c r="R62" t="s">
        <v>126</v>
      </c>
    </row>
    <row r="63" spans="1:18" ht="15" customHeight="1" x14ac:dyDescent="0.25">
      <c r="A63" t="s">
        <v>126</v>
      </c>
      <c r="B63" t="s">
        <v>245</v>
      </c>
      <c r="C63" t="s">
        <v>246</v>
      </c>
      <c r="D63" t="s">
        <v>247</v>
      </c>
      <c r="E63">
        <v>158</v>
      </c>
      <c r="F63" s="88">
        <v>5.0632911392405111E-2</v>
      </c>
      <c r="G63">
        <v>150</v>
      </c>
      <c r="H63" s="88">
        <v>0.10126582278481011</v>
      </c>
      <c r="I63">
        <v>142</v>
      </c>
      <c r="J63" s="88">
        <v>0.7</v>
      </c>
      <c r="K63" t="s">
        <v>205</v>
      </c>
      <c r="L63" t="s">
        <v>126</v>
      </c>
      <c r="M63" t="s">
        <v>126</v>
      </c>
      <c r="N63">
        <v>1</v>
      </c>
      <c r="O63">
        <v>47.4</v>
      </c>
      <c r="P63">
        <v>47.4</v>
      </c>
    </row>
    <row r="64" spans="1:18" ht="15" customHeight="1" x14ac:dyDescent="0.25">
      <c r="C64" s="63" t="s">
        <v>248</v>
      </c>
    </row>
    <row r="65" spans="1:18" ht="15" customHeight="1" x14ac:dyDescent="0.25">
      <c r="A65" t="s">
        <v>126</v>
      </c>
      <c r="B65" t="s">
        <v>249</v>
      </c>
      <c r="C65" t="s">
        <v>250</v>
      </c>
      <c r="D65" t="s">
        <v>247</v>
      </c>
      <c r="E65">
        <v>320</v>
      </c>
      <c r="F65" s="88">
        <v>5.0000000000000044E-2</v>
      </c>
      <c r="G65">
        <v>304</v>
      </c>
      <c r="H65" s="88">
        <v>9.9999999999999978E-2</v>
      </c>
      <c r="I65">
        <v>288</v>
      </c>
      <c r="J65" s="88">
        <v>0.7</v>
      </c>
      <c r="K65" t="s">
        <v>205</v>
      </c>
      <c r="L65" t="s">
        <v>126</v>
      </c>
      <c r="M65" t="s">
        <v>126</v>
      </c>
      <c r="N65">
        <v>2</v>
      </c>
      <c r="O65">
        <v>96</v>
      </c>
      <c r="P65">
        <v>192</v>
      </c>
    </row>
    <row r="66" spans="1:18" ht="15" customHeight="1" x14ac:dyDescent="0.25">
      <c r="C66" s="63" t="s">
        <v>251</v>
      </c>
    </row>
    <row r="67" spans="1:18" ht="15" customHeight="1" x14ac:dyDescent="0.25">
      <c r="C67" t="s">
        <v>252</v>
      </c>
      <c r="Q67">
        <v>239.4</v>
      </c>
      <c r="R67" t="s">
        <v>126</v>
      </c>
    </row>
    <row r="69" spans="1:18" ht="15" customHeight="1" x14ac:dyDescent="0.25">
      <c r="A69" t="s">
        <v>126</v>
      </c>
      <c r="B69" t="s">
        <v>253</v>
      </c>
      <c r="C69" t="s">
        <v>192</v>
      </c>
      <c r="D69">
        <v>1</v>
      </c>
      <c r="P69" t="s">
        <v>254</v>
      </c>
      <c r="Q69">
        <v>13530.3</v>
      </c>
    </row>
    <row r="71" spans="1:18" ht="15" customHeight="1" x14ac:dyDescent="0.25">
      <c r="N71" t="s">
        <v>255</v>
      </c>
      <c r="O71">
        <v>13830.5</v>
      </c>
    </row>
    <row r="74" spans="1:18" ht="15" customHeight="1" x14ac:dyDescent="0.25">
      <c r="A74" t="s">
        <v>256</v>
      </c>
    </row>
    <row r="75" spans="1:18" ht="15" customHeight="1" x14ac:dyDescent="0.25">
      <c r="A75" t="s">
        <v>257</v>
      </c>
    </row>
    <row r="76" spans="1:18" ht="15" customHeight="1" x14ac:dyDescent="0.25">
      <c r="A76" t="s">
        <v>258</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79</vt:i4>
      </vt:variant>
    </vt:vector>
  </HeadingPairs>
  <TitlesOfParts>
    <vt:vector size="86" baseType="lpstr">
      <vt:lpstr>Instructions</vt:lpstr>
      <vt:lpstr>Quote Options</vt:lpstr>
      <vt:lpstr>Cover</vt:lpstr>
      <vt:lpstr>Quote</vt:lpstr>
      <vt:lpstr>Config 1</vt:lpstr>
      <vt:lpstr>Settings</vt:lpstr>
      <vt:lpstr>Temp</vt:lpstr>
      <vt:lpstr>Acceptance</vt:lpstr>
      <vt:lpstr>Address1</vt:lpstr>
      <vt:lpstr>Address2</vt:lpstr>
      <vt:lpstr>Address3</vt:lpstr>
      <vt:lpstr>CartQuoteName</vt:lpstr>
      <vt:lpstr>CityStateZip</vt:lpstr>
      <vt:lpstr>Company</vt:lpstr>
      <vt:lpstr>'Config 1'!Config1Subtotal</vt:lpstr>
      <vt:lpstr>Config1Subtotal</vt:lpstr>
      <vt:lpstr>ContactName</vt:lpstr>
      <vt:lpstr>Country</vt:lpstr>
      <vt:lpstr>CoverFooter1</vt:lpstr>
      <vt:lpstr>CoverFooter2</vt:lpstr>
      <vt:lpstr>CoverFooter3</vt:lpstr>
      <vt:lpstr>Currency</vt:lpstr>
      <vt:lpstr>DataFrameworksEULARow</vt:lpstr>
      <vt:lpstr>'Config 1'!Description</vt:lpstr>
      <vt:lpstr>Description</vt:lpstr>
      <vt:lpstr>Disclaimer</vt:lpstr>
      <vt:lpstr>DisclaimerText</vt:lpstr>
      <vt:lpstr>'Config 1'!Discount</vt:lpstr>
      <vt:lpstr>Discount</vt:lpstr>
      <vt:lpstr>Email</vt:lpstr>
      <vt:lpstr>EstimatedDelivery</vt:lpstr>
      <vt:lpstr>'Config 1'!ExtendedPrice</vt:lpstr>
      <vt:lpstr>ExtendedPrice</vt:lpstr>
      <vt:lpstr>'Config 1'!Freight</vt:lpstr>
      <vt:lpstr>Freight</vt:lpstr>
      <vt:lpstr>LeadTime</vt:lpstr>
      <vt:lpstr>'Config 1'!ListPrice</vt:lpstr>
      <vt:lpstr>ListPrice</vt:lpstr>
      <vt:lpstr>MediaWithinConfigurationChoices</vt:lpstr>
      <vt:lpstr>'Config 1'!ModelNumber</vt:lpstr>
      <vt:lpstr>ModelNumber</vt:lpstr>
      <vt:lpstr>'Config 1'!NetPrice</vt:lpstr>
      <vt:lpstr>NetPrice</vt:lpstr>
      <vt:lpstr>Notes</vt:lpstr>
      <vt:lpstr>NumberOfTermsPages</vt:lpstr>
      <vt:lpstr>OpportunityNumber</vt:lpstr>
      <vt:lpstr>OrderPlacement</vt:lpstr>
      <vt:lpstr>Phone</vt:lpstr>
      <vt:lpstr>PriceColumnChoices</vt:lpstr>
      <vt:lpstr>'Config 1'!Print_Area</vt:lpstr>
      <vt:lpstr>Quote!Print_Area</vt:lpstr>
      <vt:lpstr>'Config 1'!Print_Titles</vt:lpstr>
      <vt:lpstr>Quote!Print_Titles</vt:lpstr>
      <vt:lpstr>QDRNumber</vt:lpstr>
      <vt:lpstr>QSREmail</vt:lpstr>
      <vt:lpstr>QSRPhone</vt:lpstr>
      <vt:lpstr>'Config 1'!Qty</vt:lpstr>
      <vt:lpstr>Qty</vt:lpstr>
      <vt:lpstr>QuoteDate</vt:lpstr>
      <vt:lpstr>QuoteFormatChoices</vt:lpstr>
      <vt:lpstr>QuoteNumber</vt:lpstr>
      <vt:lpstr>QuoteOptions_DiscountSourceColumn</vt:lpstr>
      <vt:lpstr>QuoteOptions_InstallationLocation</vt:lpstr>
      <vt:lpstr>QuoteOptions_ItemNotes</vt:lpstr>
      <vt:lpstr>QuoteOptions_LeadTime</vt:lpstr>
      <vt:lpstr>QuoteOptions_MediaBanner</vt:lpstr>
      <vt:lpstr>QuoteOptions_MediaWithinConfigs</vt:lpstr>
      <vt:lpstr>QuoteOptions_MediaWithinConfigurations</vt:lpstr>
      <vt:lpstr>QuoteOptions_QuoteFormat</vt:lpstr>
      <vt:lpstr>QuoteOptions_ServiceContractDates</vt:lpstr>
      <vt:lpstr>QuoteOptions_ServiceLevel</vt:lpstr>
      <vt:lpstr>QuoteOptions_ServiceZone</vt:lpstr>
      <vt:lpstr>QuoteOptions_UnitPriceSourceColumn</vt:lpstr>
      <vt:lpstr>QuoteStatus</vt:lpstr>
      <vt:lpstr>QuoteWorksheetAdditionalText</vt:lpstr>
      <vt:lpstr>Region</vt:lpstr>
      <vt:lpstr>SPRNumber</vt:lpstr>
      <vt:lpstr>TandC</vt:lpstr>
      <vt:lpstr>TemplateVersion</vt:lpstr>
      <vt:lpstr>'Config 1'!Total</vt:lpstr>
      <vt:lpstr>Total</vt:lpstr>
      <vt:lpstr>'Config 1'!UnitPrice</vt:lpstr>
      <vt:lpstr>UnitPrice</vt:lpstr>
      <vt:lpstr>UnitPriceColumnChoices</vt:lpstr>
      <vt:lpstr>ValidDate</vt:lpstr>
      <vt:lpstr>Zone</vt:lpstr>
    </vt:vector>
  </TitlesOfParts>
  <Company>Quantum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Quantum Marketplace Quote Template</dc:title>
  <dc:subject>Quantum Marketplace Quote Template</dc:subject>
  <dc:creator>Gary Brenkman</dc:creator>
  <dc:description>Template Version 141 (25MAR25)</dc:description>
  <cp:lastModifiedBy>Megan Swaffield</cp:lastModifiedBy>
  <cp:lastPrinted>2015-03-03T00:43:30Z</cp:lastPrinted>
  <dcterms:created xsi:type="dcterms:W3CDTF">2006-08-25T01:25:51Z</dcterms:created>
  <dcterms:modified xsi:type="dcterms:W3CDTF">2025-11-21T19:15:19Z</dcterms:modified>
</cp:coreProperties>
</file>